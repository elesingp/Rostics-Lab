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Все рестораны"/>
  </sheets>
  <calcPr fullCalcOnLoad="1"/>
</workbook>
</file>

<file path=xl/sharedStrings.xml><?xml version="1.0" encoding="utf-8"?>
<sst xmlns="http://schemas.openxmlformats.org/spreadsheetml/2006/main" count="18151" uniqueCount="5456">
  <si>
    <t>Внешний код Facts number</t>
  </si>
  <si>
    <t>Код канала розничной торговли</t>
  </si>
  <si>
    <t>Имя</t>
  </si>
  <si>
    <t>Краткое наименование</t>
  </si>
  <si>
    <t>JDE код</t>
  </si>
  <si>
    <t>Номер магазина</t>
  </si>
  <si>
    <t>Группа стран/регионов</t>
  </si>
  <si>
    <t>Адрес</t>
  </si>
  <si>
    <t>Эл. почта</t>
  </si>
  <si>
    <t>Телефон</t>
  </si>
  <si>
    <t>Расширение</t>
  </si>
  <si>
    <t>Цепочка компаний</t>
  </si>
  <si>
    <t>Юридическое лицо франчайзи</t>
  </si>
  <si>
    <t>Наименование юридического лица франчайзи</t>
  </si>
  <si>
    <t>Сабдивизион</t>
  </si>
  <si>
    <t>Рынок сбыта</t>
  </si>
  <si>
    <t>Ценовая группа</t>
  </si>
  <si>
    <t>Статус</t>
  </si>
  <si>
    <t>Статус workflow-процесса</t>
  </si>
  <si>
    <t>WF-процессов</t>
  </si>
  <si>
    <t>Последний тип ремоделинга</t>
  </si>
  <si>
    <t>Последний год ремоделинга</t>
  </si>
  <si>
    <t>Следующий тип ремоделинга</t>
  </si>
  <si>
    <t>Следующий год ремоделинга</t>
  </si>
  <si>
    <t>Тип помещения</t>
  </si>
  <si>
    <t>KFC Kazanskiy Moscow</t>
  </si>
  <si>
    <t>KFC Казанский Москва</t>
  </si>
  <si>
    <t>RUS</t>
  </si>
  <si>
    <t>107140, Россия, Москва, Комсомольская площадь, 2</t>
  </si>
  <si>
    <t>kfc-kazanskij-1032@cityrst.ru</t>
  </si>
  <si>
    <t>Сити Ресторантс</t>
  </si>
  <si>
    <t>ООО "Сити Ресторантс"</t>
  </si>
  <si>
    <t>Moscow</t>
  </si>
  <si>
    <t>Open</t>
  </si>
  <si>
    <t>Не отправлено</t>
  </si>
  <si>
    <t>Major</t>
  </si>
  <si>
    <t>2 023</t>
  </si>
  <si>
    <t>IL</t>
  </si>
  <si>
    <t>Petrovskiy Izhevsk</t>
  </si>
  <si>
    <t>Ресторан Петровский Ижевск</t>
  </si>
  <si>
    <t>426068, Россия, Удмуртская республика, Ижевск, Михаила Петрова, 29</t>
  </si>
  <si>
    <t>kfcpetr@restudm.ru</t>
  </si>
  <si>
    <t>Смарт Сервис</t>
  </si>
  <si>
    <t>ООО "КФС Ижевск"</t>
  </si>
  <si>
    <t>Volga</t>
  </si>
  <si>
    <t>Izhevsk</t>
  </si>
  <si>
    <t>Ресторан Петровский</t>
  </si>
  <si>
    <t>Утверждено</t>
  </si>
  <si>
    <t>Minor</t>
  </si>
  <si>
    <t>2 018</t>
  </si>
  <si>
    <t>Buharestsky Saint-Petersburg</t>
  </si>
  <si>
    <t>Ресторан Бухарестский Санкт-Петербург</t>
  </si>
  <si>
    <t>192071, Россия, Санкт-Петербург, Бухарестская, 32</t>
  </si>
  <si>
    <t>403100@myrest.team</t>
  </si>
  <si>
    <t>МайРест</t>
  </si>
  <si>
    <t>ООО "МайРест"</t>
  </si>
  <si>
    <t>NW</t>
  </si>
  <si>
    <t>Saint Petersburg</t>
  </si>
  <si>
    <t>Стандарт</t>
  </si>
  <si>
    <t>FC</t>
  </si>
  <si>
    <t>Kultury 21 Saint-Petersburg</t>
  </si>
  <si>
    <t>Ресторан Культуры 21 Санкт-Петербург</t>
  </si>
  <si>
    <t>195276, Россия, Санкт-Петербург, проспект Культуры, 21Ак1</t>
  </si>
  <si>
    <t>403081@myrest.team</t>
  </si>
  <si>
    <t>2 022</t>
  </si>
  <si>
    <t>2 024</t>
  </si>
  <si>
    <t>FS</t>
  </si>
  <si>
    <t>Ogni Barnaul</t>
  </si>
  <si>
    <t>Ресторан Огни Барнаул</t>
  </si>
  <si>
    <t>656054, Россия, Алтайский край, Барнаул, Антона Петрова, 219Б</t>
  </si>
  <si>
    <t>kfcogni@ffaltay.ru</t>
  </si>
  <si>
    <t>УК Ай Радио</t>
  </si>
  <si>
    <t>ООО "Прайм-Тайм"</t>
  </si>
  <si>
    <t>Siberia</t>
  </si>
  <si>
    <t>Barnaul</t>
  </si>
  <si>
    <t>Ресторан Огни Барнау</t>
  </si>
  <si>
    <t>KFC Kashtan Moscow</t>
  </si>
  <si>
    <t>KFC Каштан Москва</t>
  </si>
  <si>
    <t>141052, Россия, Московская область, сп Федоскинское, д Шолохово, Дмитровское шоссе, 2Бс1</t>
  </si>
  <si>
    <t>kfc-kashtan@qsr-pro.com</t>
  </si>
  <si>
    <t>Знак</t>
  </si>
  <si>
    <t>ИП Хорошков Сергей</t>
  </si>
  <si>
    <t>Moscow Region</t>
  </si>
  <si>
    <t>Sholokhovo</t>
  </si>
  <si>
    <t>ILDT</t>
  </si>
  <si>
    <t>KFC Pokrovka Nizhny Novgorod</t>
  </si>
  <si>
    <t>KFC Покровка Нижний Новгород</t>
  </si>
  <si>
    <t>603005, Россия, Нижегородская область, Нижний Новгород, Большая Покровская, 47</t>
  </si>
  <si>
    <t>403092@myrest.team</t>
  </si>
  <si>
    <t>Nizhny Novgorod</t>
  </si>
  <si>
    <t>Galant Ufa</t>
  </si>
  <si>
    <t>Ресторан Галант Уфа</t>
  </si>
  <si>
    <t>450054, Россия, Башкортостан республика, Уфа, проспект Октября, 68/2</t>
  </si>
  <si>
    <t>kfc5@grufa.ru</t>
  </si>
  <si>
    <t>Глобал Фуд</t>
  </si>
  <si>
    <t>ООО "Глобал Фуд Галант"</t>
  </si>
  <si>
    <t>Urals</t>
  </si>
  <si>
    <t>Ufa</t>
  </si>
  <si>
    <t>Merkurii Ufa</t>
  </si>
  <si>
    <t>Ресторан Меркурий Уфа</t>
  </si>
  <si>
    <t>450112, Россия, Башкортостан республика, Уфа, Кольцевая, 65</t>
  </si>
  <si>
    <t>kfc6@grufa.ru</t>
  </si>
  <si>
    <t>ООО "Глобал Фуд Меркурий"</t>
  </si>
  <si>
    <t>Ресторан Меркурий Уф</t>
  </si>
  <si>
    <t>Zvezdnaya Saint-Petersburg</t>
  </si>
  <si>
    <t>Ресторан Звездная Санкт-Петербург</t>
  </si>
  <si>
    <t>196158, Россия, Санкт-Петербург, Ленсовета, 97</t>
  </si>
  <si>
    <t>403101@myrest.team</t>
  </si>
  <si>
    <t>KFC Paveletskiy Moscow</t>
  </si>
  <si>
    <t>KFC Павелецкий Москва</t>
  </si>
  <si>
    <t>115114, Россия, Москва, Павелецкая площадь, 1Ас1</t>
  </si>
  <si>
    <t>kfc-paveletskij-1044@cityrst.ru</t>
  </si>
  <si>
    <t>Стандарт+10%</t>
  </si>
  <si>
    <t>KFC Orbitalnaya Rostov-on-Don</t>
  </si>
  <si>
    <t>KFC Орбитальная Ростов-на-Дону</t>
  </si>
  <si>
    <t>346643, Россия, Ростовская область, п Верхнетемерницкий, Обсерваторная, 13</t>
  </si>
  <si>
    <t>kfc.orbitalnaya@yummy.rest</t>
  </si>
  <si>
    <t>Ямми Груп</t>
  </si>
  <si>
    <t>ООО "Ямми Груп"</t>
  </si>
  <si>
    <t>South</t>
  </si>
  <si>
    <t>Rostov-na-Donu</t>
  </si>
  <si>
    <t>KFC Sestroretsk Saint-Petersburg</t>
  </si>
  <si>
    <t>KFC Сестрорецк Санкт-Петербург</t>
  </si>
  <si>
    <t>197706, Россия, Санкт-Петербург, Сестрорецк, Приморское шоссе, 264А</t>
  </si>
  <si>
    <t>403102@myrest.team</t>
  </si>
  <si>
    <t>2 019</t>
  </si>
  <si>
    <t>FSDT</t>
  </si>
  <si>
    <t>Korolev Moscow</t>
  </si>
  <si>
    <t>Ресторан Королев Москва</t>
  </si>
  <si>
    <t>141068, Россия, Московская область, Королёв, Калининградская, 11</t>
  </si>
  <si>
    <t>korolev@gfgroup.ru</t>
  </si>
  <si>
    <t>ГФГ</t>
  </si>
  <si>
    <t>ООО "Главфудгрупп"</t>
  </si>
  <si>
    <t>Korolyov</t>
  </si>
  <si>
    <t>Ресторан Королев Мос</t>
  </si>
  <si>
    <t>Prospect Mira Naberezhnye Chelny</t>
  </si>
  <si>
    <t>Ресторан Проспект Мира Набережные Челны</t>
  </si>
  <si>
    <t>423812, Россия, Татарстан республика, Набережные Челны, проспект Мира, 22А</t>
  </si>
  <si>
    <t>kfcmir@restudm.ru</t>
  </si>
  <si>
    <t>ООО "КФС Челны"</t>
  </si>
  <si>
    <t>Naberejnye Tchelny</t>
  </si>
  <si>
    <t>Ресторан Проспект Ми</t>
  </si>
  <si>
    <t>Vishaya Liga Penza</t>
  </si>
  <si>
    <t>Ресторан Высшая Лига Пенза</t>
  </si>
  <si>
    <t>440000, Россия, Пензенская область, Пенза, Московская, 37</t>
  </si>
  <si>
    <t>visshaya.liga@n-vkus.ru</t>
  </si>
  <si>
    <t>Новый Вкус</t>
  </si>
  <si>
    <t>ООО "Новый Вкус"</t>
  </si>
  <si>
    <t>Penza</t>
  </si>
  <si>
    <t>Ресторан Высшая Лига</t>
  </si>
  <si>
    <t>Solntce Penza</t>
  </si>
  <si>
    <t>Ресторан Солнце Пенза</t>
  </si>
  <si>
    <t>440000, Россия, Пензенская область, Пенза, Московская, 78</t>
  </si>
  <si>
    <t>Ploshad.Lenina@n-vkus.ru</t>
  </si>
  <si>
    <t>Ресторан Солнце Пенз</t>
  </si>
  <si>
    <t>Prostor Ufa</t>
  </si>
  <si>
    <t>Ресторан Простор Уфа</t>
  </si>
  <si>
    <t>450105, Россия, Башкортостан республика, Уфа, Маршала Жукова, 29</t>
  </si>
  <si>
    <t>kfc7@grufa.ru</t>
  </si>
  <si>
    <t>ООО "Глобал Фуд Простор"</t>
  </si>
  <si>
    <t>Ashkadar Sterlitomak</t>
  </si>
  <si>
    <t>Ресторан Ашкадар Стерлитамак</t>
  </si>
  <si>
    <t>453103, Россия, Башкортостан республика, Стерлитамак, Голикова, 20</t>
  </si>
  <si>
    <t>kfc8@grufa.ru</t>
  </si>
  <si>
    <t>ООО "Глобал Фуд Ст"</t>
  </si>
  <si>
    <t>Sterlitamak</t>
  </si>
  <si>
    <t>Ресторан Ашкадар Сте</t>
  </si>
  <si>
    <t>Mir Barnaul</t>
  </si>
  <si>
    <t>Ресторан Мир Барнаул</t>
  </si>
  <si>
    <t>656000, Россия, Алтайский край, Барнаул, площадь Победы, 1</t>
  </si>
  <si>
    <t>kfcmir@ffaltay.ru</t>
  </si>
  <si>
    <t>ООО "Ук Айрадио"</t>
  </si>
  <si>
    <t>KFC Sholohova Rostov-on-Don</t>
  </si>
  <si>
    <t>KFC Шолохова Ростов-на-Дону</t>
  </si>
  <si>
    <t>344019, Россия, Ростовская область, Ростов-на-Дону, проспект Шолохова, 128</t>
  </si>
  <si>
    <t>kfc.sholohova@yummy.rest</t>
  </si>
  <si>
    <t>KFC Almaz Chelyabinsk</t>
  </si>
  <si>
    <t>KFC Алмаз Челябинск</t>
  </si>
  <si>
    <t>454000, Россия, Челябинская область, Челябинск, Копейское ш., 64</t>
  </si>
  <si>
    <t>kfc16@grufa.ru</t>
  </si>
  <si>
    <t>ООО "Глобал Фуд Алмаз"</t>
  </si>
  <si>
    <t>Chelyabinsk</t>
  </si>
  <si>
    <t>Стандарт+5%</t>
  </si>
  <si>
    <t>Izmailovsky Saint-Petersburg</t>
  </si>
  <si>
    <t>Ресторан Измайловский Санкт-Петербург</t>
  </si>
  <si>
    <t>190005, Россия, Санкт-Петербург, 1-я Красноармейская, 15</t>
  </si>
  <si>
    <t>403104@myrest.team</t>
  </si>
  <si>
    <t>Kolpino Saint-Petersburg</t>
  </si>
  <si>
    <t>Ресторан Колпино Санкт-Петербург</t>
  </si>
  <si>
    <t>196655, Россия, Ленинградская область, п Тельмана, Оборная, 2Б к4</t>
  </si>
  <si>
    <t>403107@myrest.team</t>
  </si>
  <si>
    <t>South Pole Saint-Petersburg</t>
  </si>
  <si>
    <t>Ресторан Южный Полюс Санкт-Петербург</t>
  </si>
  <si>
    <t>192241, Россия, Санкт-Петербург, Пражская, 48/50</t>
  </si>
  <si>
    <t>403112@myrest.team</t>
  </si>
  <si>
    <t>2 017</t>
  </si>
  <si>
    <t>Badayeva Saint-Petersburg</t>
  </si>
  <si>
    <t>Ресторан Бадаева Санкт-Петербург</t>
  </si>
  <si>
    <t>193318, Россия, Санкт-Петербург, Бадаева, 2</t>
  </si>
  <si>
    <t>403086@myrest.team</t>
  </si>
  <si>
    <t>2 020</t>
  </si>
  <si>
    <t>KFC Muravey Nizhny Novgorod</t>
  </si>
  <si>
    <t>KFC Муравей Нижний Новгород</t>
  </si>
  <si>
    <t>603034, Россия, Нижегородская область, Нижний Новгород, проспект Ленина, 33</t>
  </si>
  <si>
    <t>403109@myrest.team</t>
  </si>
  <si>
    <t>KFC Gatchina Saint-Petersburg</t>
  </si>
  <si>
    <t>KFC Гатчина Санкт-Петербург</t>
  </si>
  <si>
    <t>188300, Россия, Ленинградская область, Гатчина, проспект 25 Октября, 42</t>
  </si>
  <si>
    <t>403105@myrest.team</t>
  </si>
  <si>
    <t>Gatchina</t>
  </si>
  <si>
    <t>Parnas Saint-Petersburg</t>
  </si>
  <si>
    <t>Ресторан Мега Парнас Санкт-Петербург</t>
  </si>
  <si>
    <t>188660, Россия, Санкт-Петербург, КАД, 117-й километр, внешнее кольцо, 1</t>
  </si>
  <si>
    <t>403114@myrest.team</t>
  </si>
  <si>
    <t>2 021</t>
  </si>
  <si>
    <t>KFC Gulliver Orenburg</t>
  </si>
  <si>
    <t>KFC Гулливер Оренбург</t>
  </si>
  <si>
    <t>460022, Россия, Оренбургская область, Оренбург, Новая, 4</t>
  </si>
  <si>
    <t>kfc9@grufa.ru</t>
  </si>
  <si>
    <t>ООО "Глобал Фуд Оренбург"</t>
  </si>
  <si>
    <t>Orenburg</t>
  </si>
  <si>
    <t>Planeta Ufa</t>
  </si>
  <si>
    <t>Ресторан Планета Уфа</t>
  </si>
  <si>
    <t>450096, Россия, Башкортостан республика, Уфа, Энтузиастов, 20</t>
  </si>
  <si>
    <t>kfc10@grufa.ru</t>
  </si>
  <si>
    <t>ООО "Глобал Фуд Планета"</t>
  </si>
  <si>
    <t>Gagarina Kaluga</t>
  </si>
  <si>
    <t>Ресторан Гагарина Калуга</t>
  </si>
  <si>
    <t>248000, Россия, Калужская область, Калуга, Гагарина, 1</t>
  </si>
  <si>
    <t>kaluga.gagarin2023@ya.ru</t>
  </si>
  <si>
    <t>Рестораны Быстрого О</t>
  </si>
  <si>
    <t>ООО "Планета Спорта"</t>
  </si>
  <si>
    <t>Central</t>
  </si>
  <si>
    <t>Kaluga</t>
  </si>
  <si>
    <t>Ресторан Гагарина Ка</t>
  </si>
  <si>
    <t>Tulskaya Moscow</t>
  </si>
  <si>
    <t>Ресторан Тульская Москва</t>
  </si>
  <si>
    <t>115191, Россия, Москва, Большая Тульская, 13</t>
  </si>
  <si>
    <t>erevan@gfgroup.ru</t>
  </si>
  <si>
    <t>ООО "Главпит"</t>
  </si>
  <si>
    <t>Ресторан Тульская Мо</t>
  </si>
  <si>
    <t>KFC Gorizont Rostov-on-Don</t>
  </si>
  <si>
    <t>KFC Горизонт Ростов-на-Дону</t>
  </si>
  <si>
    <t>344068, Россия, Ростовская область, Ростов-на-Дону, проспект Михаила Нагибина, 32Ж</t>
  </si>
  <si>
    <t>kfc.gorizont@yummy-group.ru</t>
  </si>
  <si>
    <t>Evropeyskiy Kirov</t>
  </si>
  <si>
    <t>Ресторан Европейский Киров</t>
  </si>
  <si>
    <t>610027, Россия, Кировская область, Киров, Воровского, 43</t>
  </si>
  <si>
    <t>kfcevr@restudm.ru</t>
  </si>
  <si>
    <t>ООО "КФС Киров"</t>
  </si>
  <si>
    <t>Kirov</t>
  </si>
  <si>
    <t>Ресторан Европейский</t>
  </si>
  <si>
    <t>Shkolnaya Izhevsk</t>
  </si>
  <si>
    <t>Ресторан Школьная Ижевск</t>
  </si>
  <si>
    <t>426054, Россия, Удмуртская республика, Ижевск, Школьная, 43</t>
  </si>
  <si>
    <t>kfcshk@restudm.ru</t>
  </si>
  <si>
    <t>Ресторан Школьная Иж</t>
  </si>
  <si>
    <t>KFC Yaroslavskiy Moscow</t>
  </si>
  <si>
    <t>KFC Ярославский Москва</t>
  </si>
  <si>
    <t>107140, Россия, Москва, Комсомольская площадь, 5</t>
  </si>
  <si>
    <t>kfc-yaroslavskiy-1076@cityrst.ru</t>
  </si>
  <si>
    <t>KFC Ярославский Моск</t>
  </si>
  <si>
    <t>Vegas Crocus Moscow</t>
  </si>
  <si>
    <t>Ресторан Вегас Крокус Москва</t>
  </si>
  <si>
    <t>143400, Россия, Московская область, Красногорск, МКАД, 65-66-й километр, ул. Международная, 12</t>
  </si>
  <si>
    <t>kfc-vegas@bk.ru</t>
  </si>
  <si>
    <t>Альянс</t>
  </si>
  <si>
    <t>ООО "Бриз"</t>
  </si>
  <si>
    <t>Moscow outside MKAD</t>
  </si>
  <si>
    <t>Ресторан Вегас Кроку</t>
  </si>
  <si>
    <t>KFC Central Belgorod</t>
  </si>
  <si>
    <t>KFC Центральный Белгород</t>
  </si>
  <si>
    <t>308009, Россия, Белгородская область, Белгород, Белгородский проспект, 87</t>
  </si>
  <si>
    <t>kfc-tsentralnyj-1079@cityrst.ru</t>
  </si>
  <si>
    <t>Belgorod</t>
  </si>
  <si>
    <t>Continent Magnitogorsk</t>
  </si>
  <si>
    <t>Ресторан Континент Магнитогорск</t>
  </si>
  <si>
    <t>455044, Россия, Челябинская область, Магнитогорск, проспект Ленина, 83</t>
  </si>
  <si>
    <t>kfc11@grufa.ru</t>
  </si>
  <si>
    <t>ООО "Глобал Фуд Магнитогорск"</t>
  </si>
  <si>
    <t>Magnitogorsk</t>
  </si>
  <si>
    <t>Ресторан Континент М</t>
  </si>
  <si>
    <t>Afimall Moscow</t>
  </si>
  <si>
    <t>Ресторан Афимолл Москва</t>
  </si>
  <si>
    <t>123317, Россия, Москва, Пресненская набережная, 2</t>
  </si>
  <si>
    <t>afimol@gfgroup.ru</t>
  </si>
  <si>
    <t>ООО "ТД Сигма-Торг"</t>
  </si>
  <si>
    <t>Ресторан Афимолл Мос</t>
  </si>
  <si>
    <t>KFC Vishnevskogo Kazan</t>
  </si>
  <si>
    <t>KFC Вишневского Казань</t>
  </si>
  <si>
    <t>420043, Россия, Татарстан республика, Казань, Вишневского, 53/2</t>
  </si>
  <si>
    <t>403124@myrest.team</t>
  </si>
  <si>
    <t>Kazan</t>
  </si>
  <si>
    <t>Nauki Saint-Petersburg</t>
  </si>
  <si>
    <t>Ресторан Науки Санкт-Петербург</t>
  </si>
  <si>
    <t>195220, Россия, Санкт-Петербург, проспект Науки, 15Б</t>
  </si>
  <si>
    <t>403136@myrest.team</t>
  </si>
  <si>
    <t>KFC Rus Velikiy Novgorod</t>
  </si>
  <si>
    <t>KFC Русь Великий Новгород</t>
  </si>
  <si>
    <t>173003, Россия, Новгородская область, Великий Новгород, Большая Санкт-Петербургская, 25</t>
  </si>
  <si>
    <t>403119@myrest.team</t>
  </si>
  <si>
    <t>Velikiy Novgorod</t>
  </si>
  <si>
    <t>Pearl Plaza Saint-Petersburg</t>
  </si>
  <si>
    <t>Ресторан Жемчужная Плаза Санкт-Петербург</t>
  </si>
  <si>
    <t>198206, Россия, Санкт-Петербург, Петергофское шоссе, 51</t>
  </si>
  <si>
    <t>403140@myrest.team</t>
  </si>
  <si>
    <t>London Mall Saint-Petersburg</t>
  </si>
  <si>
    <t>Ресторан Лондон Молл Санкт-Петербург</t>
  </si>
  <si>
    <t>193313, Россия, Санкт-Петербург, Коллонтай, 3</t>
  </si>
  <si>
    <t>403141@myrest.team</t>
  </si>
  <si>
    <t>KFC Gorkogo Cherepovetc</t>
  </si>
  <si>
    <t>KFC Горького Череповец</t>
  </si>
  <si>
    <t>162602, Россия, Вологодская область, Череповец, М. Горького, 20</t>
  </si>
  <si>
    <t>403123@myrest.team</t>
  </si>
  <si>
    <t>Cherepovetc</t>
  </si>
  <si>
    <t>Gakkelevskaya Saint-Petersburg</t>
  </si>
  <si>
    <t>Ресторан Гаккелевская Санкт-Петербург</t>
  </si>
  <si>
    <t>197227, Россия, Санкт-Петербург, Гаккелевская, 23</t>
  </si>
  <si>
    <t>403117@myrest.team</t>
  </si>
  <si>
    <t>KFC MegaGrinn Belgorod</t>
  </si>
  <si>
    <t>KFC МегаГринн Белгород</t>
  </si>
  <si>
    <t>308010, Россия, Белгородская область, Белгород, проспект Богдана Хмельницкого, 137Т</t>
  </si>
  <si>
    <t>kfc-grinn-1083@cityrst.ru</t>
  </si>
  <si>
    <t>Zavodskoy Saratov</t>
  </si>
  <si>
    <t>Ресторан Заводской Саратов</t>
  </si>
  <si>
    <t>410015, Россия, Саратовская область, Саратов, пл. Орджоникидзе, 1</t>
  </si>
  <si>
    <t>zavodskoy@kfc-saratov.ru</t>
  </si>
  <si>
    <t>Рус-Сар</t>
  </si>
  <si>
    <t>ООО "Сар-Рест"</t>
  </si>
  <si>
    <t>Saratov</t>
  </si>
  <si>
    <t>Ресторан Заводской С</t>
  </si>
  <si>
    <t>RIO Vologda</t>
  </si>
  <si>
    <t>Ресторан РИО Вологда</t>
  </si>
  <si>
    <t>160028, Россия, Вологодская область, Вологда, Окружное шоссе, 12</t>
  </si>
  <si>
    <t>403152@myrest.team</t>
  </si>
  <si>
    <t>Vologda</t>
  </si>
  <si>
    <t>Sosnovyj bor Saint-Petersburg</t>
  </si>
  <si>
    <t>Ресторан Сосновый Бор Санкт-Петербург</t>
  </si>
  <si>
    <t>188541, Россия, Ленинградская область, Сосновый Бор, Солнечная, 12</t>
  </si>
  <si>
    <t>403151@myrest.team</t>
  </si>
  <si>
    <t>Sosnovy Bor</t>
  </si>
  <si>
    <t>Monpansie Saint-Petersburg</t>
  </si>
  <si>
    <t>Ресторан Монпансье Санкт-Петербург</t>
  </si>
  <si>
    <t>197373, Россия, Санкт-Петербург, Планерная, 59А</t>
  </si>
  <si>
    <t>403144@myrest.team</t>
  </si>
  <si>
    <t>Europolis Saint-Petersburg</t>
  </si>
  <si>
    <t>Ресторан Европолис Санкт-Петербург</t>
  </si>
  <si>
    <t>195197, Россия, Санкт-Петербург, Полюстровский проспект, 84</t>
  </si>
  <si>
    <t>403118@myrest.team</t>
  </si>
  <si>
    <t>KFC Lotos Plaza Petrozavodsk</t>
  </si>
  <si>
    <t>KFC Лотос Плаза Петрозаводск</t>
  </si>
  <si>
    <t>185014, Россия, Карелия республика, Петрозаводск, Лесной проспект, 47А</t>
  </si>
  <si>
    <t>403142@myrest.team</t>
  </si>
  <si>
    <t>Petrozavodsk</t>
  </si>
  <si>
    <t>KFC TCUM Nizhniy Novgorod</t>
  </si>
  <si>
    <t>KFC ЦУМ Нижний Новгород</t>
  </si>
  <si>
    <t>603002, Россия, Нижегородская область, Нижний Новгород, Героя Фильченкова, 10</t>
  </si>
  <si>
    <t>nizhny.novgorod.tsum@myrest.team</t>
  </si>
  <si>
    <t>Centralnaya Izhevsk</t>
  </si>
  <si>
    <t>Ресторан Центральная Ижевск</t>
  </si>
  <si>
    <t>426008, Россия, Удмуртская республика, Ижевск, Пушкинская, 221В</t>
  </si>
  <si>
    <t>kfcpl@restudm.ru</t>
  </si>
  <si>
    <t>Ресторан Центральная</t>
  </si>
  <si>
    <t>KFC Kurs Stupino Moscow</t>
  </si>
  <si>
    <t>KFC Курс Ступино Москва</t>
  </si>
  <si>
    <t>142800, Россия, Московская область, Ступино, проспект Победы, 63А</t>
  </si>
  <si>
    <t>kfc-kurs-1127@cityrst.ru</t>
  </si>
  <si>
    <t>Stupino</t>
  </si>
  <si>
    <t>KFC Курс Ступино Мос</t>
  </si>
  <si>
    <t>Evropeyskiy 2 Moscow</t>
  </si>
  <si>
    <t>Ресторан Европейский 2 Москва</t>
  </si>
  <si>
    <t>121059, Россия, Москва, площадь Киевского Вокзала, 2, ТЦ "Европейский", 4 этаж</t>
  </si>
  <si>
    <t>evropeyskiy@gfgroup.ru</t>
  </si>
  <si>
    <t>ООО "ГФГ Европа"</t>
  </si>
  <si>
    <t>KFC Megapolis Moscow</t>
  </si>
  <si>
    <t>KFC Мегаполис Москва</t>
  </si>
  <si>
    <t>115432, Россия, Москва, проспект Андропова, 8</t>
  </si>
  <si>
    <t>kfc-mgp@qsr-pro.com</t>
  </si>
  <si>
    <t>ООО "КФС-Технопарк"</t>
  </si>
  <si>
    <t>KFC RIO Dmitrovskoe shosse Moscow</t>
  </si>
  <si>
    <t>KFC Рио Дмитровское шоссе Москва</t>
  </si>
  <si>
    <t>127204, Россия, Москва, Дмитровское шоссе, 163А</t>
  </si>
  <si>
    <t>kfc-riod@qsr-pro.com</t>
  </si>
  <si>
    <t>ООО "КФС-Риод"</t>
  </si>
  <si>
    <t>Sokolniki Moscow</t>
  </si>
  <si>
    <t>Ресторан Сокольники Москва</t>
  </si>
  <si>
    <t>107014, Россия, Москва, Сокольническая площадь, 9А</t>
  </si>
  <si>
    <t>planinvest-8@mail.ru</t>
  </si>
  <si>
    <t>ПланинвестПроект</t>
  </si>
  <si>
    <t>ООО "Планинвест Проект"</t>
  </si>
  <si>
    <t>Ресторан Сокольники</t>
  </si>
  <si>
    <t>Goodzone Moscow</t>
  </si>
  <si>
    <t>Ресторан Гудзон Москва</t>
  </si>
  <si>
    <t>115230, Россия, Москва, Каширское шоссе, 14</t>
  </si>
  <si>
    <t>kfcgoodzone@gmail.com</t>
  </si>
  <si>
    <t>ООО "Эталон"</t>
  </si>
  <si>
    <t>Ресторан Гудзон Моск</t>
  </si>
  <si>
    <t>Izmaylovskiy val Moscow</t>
  </si>
  <si>
    <t>Ресторан Измайловский вал Москва</t>
  </si>
  <si>
    <t>105318, Россия, Москва, Измайловский Вал, 2</t>
  </si>
  <si>
    <t>kfc-semenovskaya-1124@cityrst.ru</t>
  </si>
  <si>
    <t>KFC Ural Chelyabinsk</t>
  </si>
  <si>
    <t>KFC Урал Челябинск</t>
  </si>
  <si>
    <t>454080, Россия, Челябинская область, Челябинск, Воровского, 6</t>
  </si>
  <si>
    <t>kfc13@grufa.ru</t>
  </si>
  <si>
    <t>ООО "Глобал Фуд Урал"</t>
  </si>
  <si>
    <t>KFC Gorky Chelyabinsk</t>
  </si>
  <si>
    <t>KFC Горки Челябинск</t>
  </si>
  <si>
    <t>454007, Россия, Челябинская область, Челябинск, Артиллерийская, 136</t>
  </si>
  <si>
    <t>kfc14@grufa.ru</t>
  </si>
  <si>
    <t>ООО "Глобал Фуд Челябинск"</t>
  </si>
  <si>
    <t>Lenta Kemerovo</t>
  </si>
  <si>
    <t>Ресторан Лента Кемерово</t>
  </si>
  <si>
    <t>650065, Россия, Кемеровская область, Кемерово, Ленинградский проспект, 28Б</t>
  </si>
  <si>
    <t>kfc_lenta_kemerovo@mail.ru</t>
  </si>
  <si>
    <t>Парк ИТ</t>
  </si>
  <si>
    <t>ИП Лукина Анастасия Сергеевна</t>
  </si>
  <si>
    <t>Kemerovo</t>
  </si>
  <si>
    <t>Ресторан Лента Кемер</t>
  </si>
  <si>
    <t>Arena Barnaul</t>
  </si>
  <si>
    <t>Ресторан Арена Барнаул</t>
  </si>
  <si>
    <t>656922, Россия, Алтайский край, Барнаул, Павловский тракт, 188</t>
  </si>
  <si>
    <t>kfcarena@ffaltay.ru</t>
  </si>
  <si>
    <t>ООО "Вкусно"</t>
  </si>
  <si>
    <t>Ресторан Арена Барна</t>
  </si>
  <si>
    <t>KFC Zelenodolsk Essen Kazan</t>
  </si>
  <si>
    <t>KFC Зеленодольск Эссен Казань</t>
  </si>
  <si>
    <t>422545, Россия, Татарстан республика, Зеленодольск, проспект Строителей, 30</t>
  </si>
  <si>
    <t>403153@myrest.team</t>
  </si>
  <si>
    <t>Zelenodolsk</t>
  </si>
  <si>
    <t>KFC Pobeda Petrozavodsk</t>
  </si>
  <si>
    <t>KFC Победа Петрозаводск</t>
  </si>
  <si>
    <t>185035, Россия, Карелия республика, Петрозаводск, проспект Ленина, 27</t>
  </si>
  <si>
    <t>403147@myrest.team</t>
  </si>
  <si>
    <t>Kolpino Bulvar Saint-Petersburg</t>
  </si>
  <si>
    <t>Ресторан Колпино Бульвар Санкт-Петербург</t>
  </si>
  <si>
    <t>196657, Россия, Санкт-Петербург, Колпино, бульвар Трудящихся, 12</t>
  </si>
  <si>
    <t>403146@myrest.team</t>
  </si>
  <si>
    <t>KFC Nehinskaya Velikiy Novgorod</t>
  </si>
  <si>
    <t>KFC Нехинская Великий Новгород</t>
  </si>
  <si>
    <t>173021, Россия, Новгородская область, Великий Новгород, проспект Мира, 33</t>
  </si>
  <si>
    <t>403122@myrest.team</t>
  </si>
  <si>
    <t>Shell Ulyanka Saint-Petersburg</t>
  </si>
  <si>
    <t>Ресторан Шелл Ульянка Санкт-Петербург</t>
  </si>
  <si>
    <t>198217, Россия, Санкт-Петербург, проспект Народного Ополчения, 147Б</t>
  </si>
  <si>
    <t>403155@myrest.team</t>
  </si>
  <si>
    <t>Shell Fuchika Saint-Petersburg</t>
  </si>
  <si>
    <t>Ресторан Шелл Фучика Санкт-Петербург</t>
  </si>
  <si>
    <t>192102, Россия, Санкт-Петербург, Фучика, 6к3А</t>
  </si>
  <si>
    <t>403154@myrest.team</t>
  </si>
  <si>
    <t>KFC PTK Petrozavodsk</t>
  </si>
  <si>
    <t>KFC ПТК Петрозаводск</t>
  </si>
  <si>
    <t>185014, Россия, Карелия республика, Петрозаводск, Университетская, 1</t>
  </si>
  <si>
    <t>403143@myrest.team</t>
  </si>
  <si>
    <t>KFC Leningradskoe Pskov</t>
  </si>
  <si>
    <t>KFC Ленинградское Псков</t>
  </si>
  <si>
    <t>180005, Россия, Псковская область, Псков, Ленинградское шоссе, 26Б</t>
  </si>
  <si>
    <t>403145@myrest.team</t>
  </si>
  <si>
    <t>Pskov</t>
  </si>
  <si>
    <t>KFC RIO Nizhny Novgorod</t>
  </si>
  <si>
    <t>KFC РИО Нижний Новгород</t>
  </si>
  <si>
    <t>603002, Россия, Нижегородская область, Нижний Новгород, Московское шоссе, 12</t>
  </si>
  <si>
    <t>403158@myrest.team</t>
  </si>
  <si>
    <t>KFC 82 MKAD Moscow</t>
  </si>
  <si>
    <t>KFC 82 МКАД Москва</t>
  </si>
  <si>
    <t>127253, Россия, Москва, МКАД, 82-й километр, вл18</t>
  </si>
  <si>
    <t>403139@myrest.team</t>
  </si>
  <si>
    <t>#ERROR!</t>
  </si>
  <si>
    <t>KFC Budennovsky Rostov-on-Don</t>
  </si>
  <si>
    <t>KFC Буденновский Ростов-на-Дону</t>
  </si>
  <si>
    <t>344002, Россия, Ростовская область, Ростов-на-Дону, Будённовский проспект, 23А</t>
  </si>
  <si>
    <t>kfc.budennovsky@yummy-group.ru</t>
  </si>
  <si>
    <t>2 025</t>
  </si>
  <si>
    <t>KFC Lenina 23 Cherkessk</t>
  </si>
  <si>
    <t>KFC Ленина 23 Черкесск</t>
  </si>
  <si>
    <t>369000, Россия, Карачаево-Черкесская республика, Черкесск, проспект Ленина, 23</t>
  </si>
  <si>
    <t>kfc.dombay@yummy-group.ru</t>
  </si>
  <si>
    <t>Cherkessk</t>
  </si>
  <si>
    <t>Columbus Moscow</t>
  </si>
  <si>
    <t>Ресторан Колумбус Москва</t>
  </si>
  <si>
    <t>117519, Россия, Москва, Кировоградская, 13А</t>
  </si>
  <si>
    <t>planinvest-9@mail.ru</t>
  </si>
  <si>
    <t>Ресторан Колумбус Мо</t>
  </si>
  <si>
    <t>KFC CDM Moscow</t>
  </si>
  <si>
    <t>KFC ЦДМ Москва</t>
  </si>
  <si>
    <t>109012, Россия, Москва, Театральный проезд, 5с1</t>
  </si>
  <si>
    <t>kfc-cdm@qsr-pro.com</t>
  </si>
  <si>
    <t>ООО "КФС-ЦДМ"</t>
  </si>
  <si>
    <t>Москва Центр</t>
  </si>
  <si>
    <t>Torgoviy Kvartal Kaluga</t>
  </si>
  <si>
    <t>Ресторан Торговый Квартал Калуга</t>
  </si>
  <si>
    <t>248031, Россия, Калужская область, Калуга, Московская, 338А</t>
  </si>
  <si>
    <t>kaluga.tk@katubr.ru</t>
  </si>
  <si>
    <t>ООО "ТК"</t>
  </si>
  <si>
    <t>Ресторан Торговый Кв</t>
  </si>
  <si>
    <t>KFC Oktyabrskiy Pskov</t>
  </si>
  <si>
    <t>KFC Октябрьский Псков</t>
  </si>
  <si>
    <t>180000, Россия, Псковская область, Псков, Октябрьский проспект, 36</t>
  </si>
  <si>
    <t>403160@myrest.team</t>
  </si>
  <si>
    <t>Kirishi Saint-Petersburg</t>
  </si>
  <si>
    <t>Ресторан Кириши Санкт-Петербург</t>
  </si>
  <si>
    <t>187110, Россия, Ленинградская область, Кириши, проспект Героев, 33</t>
  </si>
  <si>
    <t>403157@myrest.team</t>
  </si>
  <si>
    <t>Kirishi</t>
  </si>
  <si>
    <t>Solnechny Noviy Urengoy</t>
  </si>
  <si>
    <t>Ресторан Солнечный Новый Уренгой</t>
  </si>
  <si>
    <t>629300, Россия, Ямало-Ненецкий автономный округ, Новый Уренгой, Сибирская, 26</t>
  </si>
  <si>
    <t>nusol@multi-menu.com</t>
  </si>
  <si>
    <t>Перспектива Север</t>
  </si>
  <si>
    <t>ООО "Норд Ресторантс"</t>
  </si>
  <si>
    <t>Oil&amp;Gas</t>
  </si>
  <si>
    <t>Novy Urengoy</t>
  </si>
  <si>
    <t>Ресторан Солнечный Н</t>
  </si>
  <si>
    <t>Oktyabrskiy prospect Kirov</t>
  </si>
  <si>
    <t>Ресторан Октябрьский пр-т Киров</t>
  </si>
  <si>
    <t>610001, Россия, Кировская область, Киров, Октябрьский проспект, 116</t>
  </si>
  <si>
    <t>kfcoktpr@restudm.ru</t>
  </si>
  <si>
    <t>Октябрьский пр-т Кир</t>
  </si>
  <si>
    <t>Konkovo Moscow</t>
  </si>
  <si>
    <t>Ресторан Коньково Москва</t>
  </si>
  <si>
    <t>117437, Россия, Москва, Профсоюзная, 118</t>
  </si>
  <si>
    <t>kfc-tropa-1091@cityrst.ru</t>
  </si>
  <si>
    <t>KFC Vokzal Tver</t>
  </si>
  <si>
    <t>KFC Вокзал Тверь</t>
  </si>
  <si>
    <t>170002, Россия, Тверская область, Тверь, Коминтерна, 18</t>
  </si>
  <si>
    <t>kfc-tver-1130@cityrst.ru</t>
  </si>
  <si>
    <t>Tver</t>
  </si>
  <si>
    <t>Klen Moscow</t>
  </si>
  <si>
    <t>Ресторан Клен Москва</t>
  </si>
  <si>
    <t>129281, Россия, Москва, Староватутинский проезд, 14</t>
  </si>
  <si>
    <t>kfc-klen-1133@cityrst.ru</t>
  </si>
  <si>
    <t>Pyatnitskoe shosse Moscow</t>
  </si>
  <si>
    <t>Ресторан Пятницкое шоссе Москва</t>
  </si>
  <si>
    <t>125430, Россия, Москва, Пятницкое шоссе, 39</t>
  </si>
  <si>
    <t>kfc-mandarin-1134@cityrst.ru</t>
  </si>
  <si>
    <t>Dema Ufa</t>
  </si>
  <si>
    <t>Ресторан Дема Уфа</t>
  </si>
  <si>
    <t>450095, Россия, Башкортостан республика, Уфа, Правды, 21/1</t>
  </si>
  <si>
    <t>kfc15@grufa.ru</t>
  </si>
  <si>
    <t>ООО "Глобал Фуд Дема"</t>
  </si>
  <si>
    <t>KFC Pervomaiskaya Moscow</t>
  </si>
  <si>
    <t>KFC Первомайская Москва</t>
  </si>
  <si>
    <t>105077, Россия, Москва, 9-я Парковая, 30,стр. 1</t>
  </si>
  <si>
    <t>kfc-1@akrussia.com</t>
  </si>
  <si>
    <t>Эй Кей Ресторантс</t>
  </si>
  <si>
    <t>ООО "Эй Кей Ресторантс Раша"</t>
  </si>
  <si>
    <t>Prospekt Stroiteley Penza</t>
  </si>
  <si>
    <t>Ресторан Проспект Строителей Пенза</t>
  </si>
  <si>
    <t>440066, Россия, Пензенская область, Пенза, проспект Строителей, 67Б</t>
  </si>
  <si>
    <t>Prospect.Stroiteley@kfc-penza.ru</t>
  </si>
  <si>
    <t>Ресторан Проспект Ст</t>
  </si>
  <si>
    <t>KFC MEGA Nizhniy Novgorod</t>
  </si>
  <si>
    <t>KFC МЕГА Нижний Новгород</t>
  </si>
  <si>
    <t>607686, Россия, Нижегородская область, Кстовский район, с Федяково, пом. 74</t>
  </si>
  <si>
    <t>403161@myrest.team</t>
  </si>
  <si>
    <t>Avtodoroga Naberezhnye Chelny</t>
  </si>
  <si>
    <t>Ресторан Автодорога Набережные Челны</t>
  </si>
  <si>
    <t>423800, Россия, Татарстан республика, Набережные Челны, Машиностроительная, 12А</t>
  </si>
  <si>
    <t>kfcdt@restudm.ru</t>
  </si>
  <si>
    <t>Ресторан Автодорога</t>
  </si>
  <si>
    <t>KFC RIO Ugo-Zapadnaya Moscow</t>
  </si>
  <si>
    <t>KFC РИО Юго-Западная Москва</t>
  </si>
  <si>
    <t>119571, Россия, Москва, проспект Вернадского, 86А</t>
  </si>
  <si>
    <t>kfc-avenue@qsr-pro.com</t>
  </si>
  <si>
    <t>ООО "Знак"</t>
  </si>
  <si>
    <t>KFC Tsvetnoy Moscow</t>
  </si>
  <si>
    <t>KFC Цветной Москва</t>
  </si>
  <si>
    <t>127051, Россия, Москва, Цветной бульвар, 11с2</t>
  </si>
  <si>
    <t>kfc-tsvetnoy-1135@cityrst.ru</t>
  </si>
  <si>
    <t>KFC Rio Tver</t>
  </si>
  <si>
    <t>KFC Рио Тверь</t>
  </si>
  <si>
    <t>170100, Россия, Тверская область, Тверь, площадь Гагарина, 5</t>
  </si>
  <si>
    <t>kfc-rio-1167@cityrst.ru</t>
  </si>
  <si>
    <t>KFC Torg Tver</t>
  </si>
  <si>
    <t>KFC Торг Тверь</t>
  </si>
  <si>
    <t>170043, Россия, Тверская область, Тверь, Октябрьский проспект, 103</t>
  </si>
  <si>
    <t>kfc-torgpark-1150@cityrst.ru</t>
  </si>
  <si>
    <t>Raduga Kemerovo</t>
  </si>
  <si>
    <t>Ресторан Радуга Кемерово</t>
  </si>
  <si>
    <t>650002, Россия, Кемеровская область, Кемерово, проспект Шахтёров, 54</t>
  </si>
  <si>
    <t>kfc_raduga_kemerovo@mail.ru</t>
  </si>
  <si>
    <t>Ресторан Радуга Кеме</t>
  </si>
  <si>
    <t>Dubrovka Moscow</t>
  </si>
  <si>
    <t>Ресторан Дубровка Москва</t>
  </si>
  <si>
    <t>115088, Россия, Москва, Шарикоподшипниковская, 13с1</t>
  </si>
  <si>
    <t>403189@myrest.team</t>
  </si>
  <si>
    <t>Atlantis Moscow</t>
  </si>
  <si>
    <t>Ресторан Атлантис Москва</t>
  </si>
  <si>
    <t>117405, Россия, Москва, Варшавское шоссе, 160</t>
  </si>
  <si>
    <t>kfc-atlantis-1138@cityrst.ru</t>
  </si>
  <si>
    <t>Azovskiy Moscow</t>
  </si>
  <si>
    <t>Ресторан Азовский Москва</t>
  </si>
  <si>
    <t>117452, Россия, Москва, Азовская, 24к3</t>
  </si>
  <si>
    <t>kfc-azovskij-1151@cityrst.ru</t>
  </si>
  <si>
    <t>Ресторан Азовский Мо</t>
  </si>
  <si>
    <t>Orange Park Moscow</t>
  </si>
  <si>
    <t>Ресторан Оранж Парк Москва</t>
  </si>
  <si>
    <t>115280, Россия, Москва, Ленинская Слобода, 26с2</t>
  </si>
  <si>
    <t>kfc-orangepark-1136@cityrst.ru</t>
  </si>
  <si>
    <t>Park Plaza Electrostal</t>
  </si>
  <si>
    <t>Ресторан Парк Плаза Электросталь</t>
  </si>
  <si>
    <t>144010, Россия, Московская область, Электросталь, Корешкова, 3</t>
  </si>
  <si>
    <t>kfc-parkplaza-1166@cityrst.ru</t>
  </si>
  <si>
    <t>Elektrostal</t>
  </si>
  <si>
    <t>KFC Matveevskoe Moscow</t>
  </si>
  <si>
    <t>KFC Матвеевское Москва</t>
  </si>
  <si>
    <t>119501, Россия, Москва, Матвеевская, 2</t>
  </si>
  <si>
    <t>kfc-tuktuk-1139@cityrst.ru</t>
  </si>
  <si>
    <t>KFC Kolomenskaya Moscow</t>
  </si>
  <si>
    <t>KFC Коломенская Москва</t>
  </si>
  <si>
    <t>115470, Россия, Москва, проспект Андропова, 23</t>
  </si>
  <si>
    <t>kfc-2@akrussia.com</t>
  </si>
  <si>
    <t>KFC Gallery Pyatigorsk</t>
  </si>
  <si>
    <t>KFC Галерея Пятигорск</t>
  </si>
  <si>
    <t>357502, Россия, Ставропольский край, Пятигорск, проспект Кирова, 65</t>
  </si>
  <si>
    <t>kfc.galereya@yummy-group.ru</t>
  </si>
  <si>
    <t>Pyatigorsk</t>
  </si>
  <si>
    <t>Primorsky Saint-Petersburg</t>
  </si>
  <si>
    <t>Ресторан Приморский Санкт-Петербург</t>
  </si>
  <si>
    <t>199155, Россия, Санкт-Петербург, Одоевского, 33</t>
  </si>
  <si>
    <t>403172@myrest.team</t>
  </si>
  <si>
    <t>KFC Dmitriya Ulyanova Moscow</t>
  </si>
  <si>
    <t>KFC Дмитрия Ульянова Москва</t>
  </si>
  <si>
    <t>117292, Россия, Москва, Дмитрия Ульянова, 20к1</t>
  </si>
  <si>
    <t>kfc-3@akrussia.com</t>
  </si>
  <si>
    <t>KFC Babushkinskaya Moscow</t>
  </si>
  <si>
    <t>KFC Бабушкинская Москва</t>
  </si>
  <si>
    <t>129281, Россия, Москва, Менжинского, 32</t>
  </si>
  <si>
    <t>kfc-6@akrussia.com</t>
  </si>
  <si>
    <t>Skhodnenskaya Moscow</t>
  </si>
  <si>
    <t>Ресторан Сходненская Москва</t>
  </si>
  <si>
    <t>125480, Россия, Москва, Героев Панфиловцев, 1А</t>
  </si>
  <si>
    <t>kfc-oranjeviymir-1163@cityrst.ru</t>
  </si>
  <si>
    <t>KFC Lenina Orekhovo - Zuyevo Moscow</t>
  </si>
  <si>
    <t>KFC Ленина Орехово-Зуево Москва</t>
  </si>
  <si>
    <t>142600, Россия, Московская область, Орехово-Зуево, Ленина, 15</t>
  </si>
  <si>
    <t>kfc-olimpiya-1179@cityrst.ru</t>
  </si>
  <si>
    <t>Orehovo-Zuevo</t>
  </si>
  <si>
    <t>KFC Ленина Орехово-З</t>
  </si>
  <si>
    <t>KFC Leningradskoe shosse 71 Moscow</t>
  </si>
  <si>
    <t>KFC Ленинградское шоссе 71 Москва</t>
  </si>
  <si>
    <t>125445, Россия, Москва, Ленинградское шоссе, 71Бс2</t>
  </si>
  <si>
    <t>kfc-leningradskoe-1164@cityrst.ru</t>
  </si>
  <si>
    <t>Depo Mall Moscow</t>
  </si>
  <si>
    <t>Ресторан Депо Молл Москва</t>
  </si>
  <si>
    <t>127322, Россия, Москва, Яблочкова, 21с3</t>
  </si>
  <si>
    <t>kfc_depomoll@qsr-pro.com</t>
  </si>
  <si>
    <t>KFC Vikhodnoy Lybertsy Moscow</t>
  </si>
  <si>
    <t>KFC Выходной Люберцы Москва</t>
  </si>
  <si>
    <t>140002, Россия, Московская область, Люберцы, Октябрьский проспект, 112</t>
  </si>
  <si>
    <t>kfc-vykhodnoj-1162@cityrst.ru</t>
  </si>
  <si>
    <t>Lyubertsy</t>
  </si>
  <si>
    <t>KFC Выходной Люберцы</t>
  </si>
  <si>
    <t>TSUM Barnaul</t>
  </si>
  <si>
    <t>Ресторан ЦУМ Барнаул</t>
  </si>
  <si>
    <t>656038, Россия, Алтайский край, Барнаул, Димитрова, 62/52</t>
  </si>
  <si>
    <t>kfctcum@ffaltay.ru</t>
  </si>
  <si>
    <t>ООО "Фастфуд-Алтай"</t>
  </si>
  <si>
    <t>KFC Komsomolskaya Nizhniy Novgorod</t>
  </si>
  <si>
    <t>KFC Комсомольская Нижний Новгород</t>
  </si>
  <si>
    <t>603011, Россия, Нижегородская область, Нижний Новгород, Деревообделочная, 8</t>
  </si>
  <si>
    <t>403110@myrest.team</t>
  </si>
  <si>
    <t>Lenina Tula</t>
  </si>
  <si>
    <t>Ресторан Ленина Тула</t>
  </si>
  <si>
    <t>300026, Россия, Тульская область, Тула, проспект Ленина, 104А/1</t>
  </si>
  <si>
    <t>tula.lenina@katubr.ru</t>
  </si>
  <si>
    <t>ООО "Рестораны Быстрого Обслуживания"</t>
  </si>
  <si>
    <t>Tula</t>
  </si>
  <si>
    <t>Balcania Saint-Petersburg</t>
  </si>
  <si>
    <t>Ресторан Балкания Санкт-Петербург</t>
  </si>
  <si>
    <t>192281, Россия, Санкт-Петербург, Балканская площадь, 5АГ</t>
  </si>
  <si>
    <t>403174@myrest.team</t>
  </si>
  <si>
    <t>Vladimirskiy Saint-Petersburg</t>
  </si>
  <si>
    <t>Ресторан Владимирский Санкт-Петербург</t>
  </si>
  <si>
    <t>191002, Россия, Санкт-Петербург, Загородный проспект, 2</t>
  </si>
  <si>
    <t>403169@myrest.team</t>
  </si>
  <si>
    <t>Ресторан Владимирски</t>
  </si>
  <si>
    <t>KFC Tandem Kazan</t>
  </si>
  <si>
    <t>KFC Тандем Казань</t>
  </si>
  <si>
    <t>420080, Россия, Татарстан республика, Казань, проспект Ибрагимова, 56</t>
  </si>
  <si>
    <t>403173@myrest.team</t>
  </si>
  <si>
    <t>Tekstilshiki Moscow</t>
  </si>
  <si>
    <t>Ресторан Текстильщики Москва</t>
  </si>
  <si>
    <t>109125, Россия, Москва, Люблинская, 4к1</t>
  </si>
  <si>
    <t>tekstilschiki@gfgroup.ru</t>
  </si>
  <si>
    <t>Ресторан Текстильщик</t>
  </si>
  <si>
    <t>Festivalnaya Moscow</t>
  </si>
  <si>
    <t>Ресторан Фестивальная Москва</t>
  </si>
  <si>
    <t>125565, Россия, Москва, Фестивальная, 2А</t>
  </si>
  <si>
    <t>rechnoy@gfgroup.ru</t>
  </si>
  <si>
    <t>ООО "ГФГ Север"</t>
  </si>
  <si>
    <t>Ресторан Фестивальна</t>
  </si>
  <si>
    <t>Sombrero Moscow</t>
  </si>
  <si>
    <t>Ресторан Сомбреро Москва</t>
  </si>
  <si>
    <t>117405, Россия, Москва, Варшавское шоссе, 152А</t>
  </si>
  <si>
    <t>kfcsombrero@gmail.com</t>
  </si>
  <si>
    <t>ООО "Альянс"</t>
  </si>
  <si>
    <t>Ресторан Сомбреро Мо</t>
  </si>
  <si>
    <t>TAU Gallery Saratov</t>
  </si>
  <si>
    <t>Ресторан Тау Галерея Саратов</t>
  </si>
  <si>
    <t>410065, Россия, Саратовская область, Саратов, 3-я Дачная</t>
  </si>
  <si>
    <t>tau@kfc-saratov.ru</t>
  </si>
  <si>
    <t>Ресторан Тау Галерея</t>
  </si>
  <si>
    <t>KFC Voskhod Orenburg</t>
  </si>
  <si>
    <t>KFC Восход Оренбург</t>
  </si>
  <si>
    <t>460000, Россия, Оренбургская область, Оренбург, проспект Победы, 1А</t>
  </si>
  <si>
    <t>kfc17@grufa.ru</t>
  </si>
  <si>
    <t>ООО "Глобал Фуд Восход"</t>
  </si>
  <si>
    <t>KFC Zubovskiy Moscow</t>
  </si>
  <si>
    <t>KFC Зубовский Москва</t>
  </si>
  <si>
    <t>119021, Россия, Москва, Зубовский бульвар, 17</t>
  </si>
  <si>
    <t>kfc-5@akrussia.com</t>
  </si>
  <si>
    <t>2 026</t>
  </si>
  <si>
    <t>Krasnoe Selo Saint-Petersburg</t>
  </si>
  <si>
    <t>Ресторан Красное Село Санкт-Петербург</t>
  </si>
  <si>
    <t>198325, Россия, Санкт-Петербург, Красное Село, Театральная, 4</t>
  </si>
  <si>
    <t>403178@myrest.team</t>
  </si>
  <si>
    <t>KFC Kristall Vladivostok</t>
  </si>
  <si>
    <t>KFC Кристалл Владивосток</t>
  </si>
  <si>
    <t>690034, Россия, Приморский край, Владивосток, Фадеева, 2Д</t>
  </si>
  <si>
    <t>kfc.kristall@goodfood-dv.ru</t>
  </si>
  <si>
    <t>ГудФуд</t>
  </si>
  <si>
    <t>ООО "Гудфуд"</t>
  </si>
  <si>
    <t>Far East</t>
  </si>
  <si>
    <t>Vladivostok</t>
  </si>
  <si>
    <t>KFC Кристалл Владиво</t>
  </si>
  <si>
    <t>Dominant Kemerovo</t>
  </si>
  <si>
    <t>Ресторан Доминант Кемерово</t>
  </si>
  <si>
    <t>650991, Россия, Кемеровская область, Кемерово, Советский проспект, 32</t>
  </si>
  <si>
    <t>kfc_dominant_kemerovo@mail.ru</t>
  </si>
  <si>
    <t>Ресторан Доминант Ке</t>
  </si>
  <si>
    <t>Berlin Moscow</t>
  </si>
  <si>
    <t>Ресторан Берлин Москва</t>
  </si>
  <si>
    <t>117303, Россия, Москва, Малая Юшуньская, 1к1</t>
  </si>
  <si>
    <t>kfcrestberlin@gmail.com</t>
  </si>
  <si>
    <t>ООО "Гранд"</t>
  </si>
  <si>
    <t>Ресторан Берлин Моск</t>
  </si>
  <si>
    <t>Kirochnaya Saint-Petersburg</t>
  </si>
  <si>
    <t>Ресторан Кирочная Санкт-Петербург</t>
  </si>
  <si>
    <t>191123, Россия, Санкт-Петербург, проспект Чернышевского, 17</t>
  </si>
  <si>
    <t>403185@myrest.team</t>
  </si>
  <si>
    <t>Ресторан Кирочная Са</t>
  </si>
  <si>
    <t>Koleso Saint-Petersburg</t>
  </si>
  <si>
    <t>Ресторан Колесо Санкт-Петербург</t>
  </si>
  <si>
    <t>196634, Россия, Санкт-Петербург, Московская Славянка, 17 A лит В</t>
  </si>
  <si>
    <t>403184@myrest.team</t>
  </si>
  <si>
    <t>Bratislavskaya 12 Moscow</t>
  </si>
  <si>
    <t>Ресторан Братиславская 12 Москва</t>
  </si>
  <si>
    <t>109451, Россия, Москва, Братиславская, 12</t>
  </si>
  <si>
    <t>403186@myrest.team</t>
  </si>
  <si>
    <t>SouthWest Saint-Petersburg</t>
  </si>
  <si>
    <t>Ресторан Юго-Запад Санкт-Петербург</t>
  </si>
  <si>
    <t>198332, Россия, Санкт-Петербург, проспект Маршала Жукова, 35к1</t>
  </si>
  <si>
    <t>403183@myrest.team</t>
  </si>
  <si>
    <t>KFC Moskovskiy 4 Saint-Petersburg</t>
  </si>
  <si>
    <t>KFC Московский 4 Санкт-Петербург</t>
  </si>
  <si>
    <t>190031, Россия, Санкт-Петербург, Московский проспект, 4</t>
  </si>
  <si>
    <t>403177@myrest.team</t>
  </si>
  <si>
    <t>Vyborgskoe shocce Saint-Petersburg</t>
  </si>
  <si>
    <t>Ресторан Выборгское шоссе Санкт-Петербург</t>
  </si>
  <si>
    <t>194355, Россия, Санкт-Петербург, Выборгское шоссе, 19к2</t>
  </si>
  <si>
    <t>403182@myrest.team</t>
  </si>
  <si>
    <t>KFC Lenina 22 Nalchik</t>
  </si>
  <si>
    <t>KFC Ленина 22 Нальчик</t>
  </si>
  <si>
    <t>360051, Россия, Кабардино-Балкарская республика, Нальчик, проспект Ленина, 32</t>
  </si>
  <si>
    <t>kfc.nalchik@yummy-group.ru</t>
  </si>
  <si>
    <t>Nalchik</t>
  </si>
  <si>
    <t>KFC Park House Kazan</t>
  </si>
  <si>
    <t>KFC Парк Хаус Казань</t>
  </si>
  <si>
    <t>420124, Россия, Татарстан республика, Казань, проспект Ямашева, 46/33</t>
  </si>
  <si>
    <t>403108@myrest.team</t>
  </si>
  <si>
    <t>Sipaylovo Ufa</t>
  </si>
  <si>
    <t>Ресторан Сипайлово Уфа</t>
  </si>
  <si>
    <t>450105, Россия, Башкортостан республика, Уфа, Академика Королёва, 2А</t>
  </si>
  <si>
    <t>kfc18@grufa.ru</t>
  </si>
  <si>
    <t>ООО "Глобал Фуд Сипайлово"</t>
  </si>
  <si>
    <t>Ресторан Сипайлово У</t>
  </si>
  <si>
    <t>KFC Novoyasenevskiy Moscow</t>
  </si>
  <si>
    <t>KFC Новоясеневский Москва</t>
  </si>
  <si>
    <t>117588, Россия, Москва, Новоясеневский проспект, 1к1</t>
  </si>
  <si>
    <t>kfc-10@akrussia.com</t>
  </si>
  <si>
    <t>KFC Ugo-Zapadnaya Moscow</t>
  </si>
  <si>
    <t>KFC Юго-Западная Москва</t>
  </si>
  <si>
    <t>119602, Россия, Москва, Покрышкина, 2</t>
  </si>
  <si>
    <t>kfc-9@akrussia.com</t>
  </si>
  <si>
    <t>KFC Planernaya Moscow</t>
  </si>
  <si>
    <t>KFC Планерная Москва</t>
  </si>
  <si>
    <t>125481, Россия, Москва, Планерная, 7</t>
  </si>
  <si>
    <t>kfc-planernaya-1176@cityrst.ru</t>
  </si>
  <si>
    <t>KFC Areal Altufievo Moscow</t>
  </si>
  <si>
    <t>KFC Ареал Алтуфьево Москва</t>
  </si>
  <si>
    <t>127349, Россия, Москва, Алтуфьевское шоссе, 86к1</t>
  </si>
  <si>
    <t>kfc-altuf@qsr-pro.com</t>
  </si>
  <si>
    <t>ООО "КФС-Алтуфьево"</t>
  </si>
  <si>
    <t>Grazhdanka SPB</t>
  </si>
  <si>
    <t>Ресторан Гражданка СПБ</t>
  </si>
  <si>
    <t>195267, Россия, Санкт-Петербург, проспект Просвещения, 87к1</t>
  </si>
  <si>
    <t>403187@myrest.team</t>
  </si>
  <si>
    <t>KFC Chistopolskaya Kazan</t>
  </si>
  <si>
    <t>KFC Чистопольская Казань</t>
  </si>
  <si>
    <t>421001, Россия, Татарстан республика, Казань, Чистопольская, 69</t>
  </si>
  <si>
    <t>403193@myrest.team</t>
  </si>
  <si>
    <t>KFC Gamidova Makhachkala</t>
  </si>
  <si>
    <t>KFC Гамидова Махачкала</t>
  </si>
  <si>
    <t>367030, Россия, Дагестан республика, Махачкала, проспект Гамидова, 61</t>
  </si>
  <si>
    <t>kfc.mahachkala@yummy-group.ru</t>
  </si>
  <si>
    <t>Makhachkala</t>
  </si>
  <si>
    <t>KFC Mira Vladikavkaz</t>
  </si>
  <si>
    <t>KFC Мира Владикавказ</t>
  </si>
  <si>
    <t>362027, Россия, Северная Осетия - Алания республика, Владикавказ, Миллера, 37/5/10</t>
  </si>
  <si>
    <t>kfc.mira@yummy-group.ru</t>
  </si>
  <si>
    <t>Vladikavkaz</t>
  </si>
  <si>
    <t>KFC Fantastika Nizhniy Novgorod</t>
  </si>
  <si>
    <t>KFC Фантастика Нижний Новгород</t>
  </si>
  <si>
    <t>603093, Россия, Нижегородская область, Нижний Новгород, Родионова, 187</t>
  </si>
  <si>
    <t>403191@myrest.team</t>
  </si>
  <si>
    <t>Gvozd Izhevsk</t>
  </si>
  <si>
    <t>Ресторан Гвоздь Ижевск</t>
  </si>
  <si>
    <t>426034, Россия, Удмуртская республика, Ижевск, Удмуртская, 304к</t>
  </si>
  <si>
    <t>kfcgvzd@restudm.ru</t>
  </si>
  <si>
    <t>ООО "Джой Лимитед"</t>
  </si>
  <si>
    <t>Ресторан Гвоздь Ижев</t>
  </si>
  <si>
    <t>KFC Universam Vladivostok</t>
  </si>
  <si>
    <t>KFC Универсам Владивосток</t>
  </si>
  <si>
    <t>690039, Россия, Приморский край, Владивосток, Русская, 44</t>
  </si>
  <si>
    <t>kfc.universam@goodfood-dv.ru</t>
  </si>
  <si>
    <t>KFC Универсам Владив</t>
  </si>
  <si>
    <t>KFC Sedanka City Vladivostok</t>
  </si>
  <si>
    <t>KFC Седанка Сити Владивосток</t>
  </si>
  <si>
    <t>690041, Россия, Приморский край, Владивосток, Полетаева, 6</t>
  </si>
  <si>
    <t>kfc.sedankacity@goodfood-dv.ru</t>
  </si>
  <si>
    <t>KFC Седанка Сити Вла</t>
  </si>
  <si>
    <t>Niva Tula</t>
  </si>
  <si>
    <t>Ресторан Нива Тула</t>
  </si>
  <si>
    <t>300041, Россия, Тульская область, Тула, Ленина, 60</t>
  </si>
  <si>
    <t>tula.niva@katubr.ru</t>
  </si>
  <si>
    <t>ООО "Нива"</t>
  </si>
  <si>
    <t>Gostiniy Dvor Tula</t>
  </si>
  <si>
    <t>Ресторан Гостиный Двор Тула</t>
  </si>
  <si>
    <t>300041, Россия, Тульская область, Тула, Советская, 47</t>
  </si>
  <si>
    <t>guest.tula@yandex.ru</t>
  </si>
  <si>
    <t>ООО "Гостиный Двор"</t>
  </si>
  <si>
    <t>Гостиный Двор Тула</t>
  </si>
  <si>
    <t>KFC Chertanovskaya Moscow</t>
  </si>
  <si>
    <t>KFC Чертановская Москва</t>
  </si>
  <si>
    <t>117639, Россия, Москва, Чертановская, 1Г</t>
  </si>
  <si>
    <t>kfc-chertan@qsr-pro.com</t>
  </si>
  <si>
    <t>ООО "КФС-Чертановская"</t>
  </si>
  <si>
    <t>KFC Timiryazevskaya Moscow</t>
  </si>
  <si>
    <t>KFC Тимирязевская Москва</t>
  </si>
  <si>
    <t>127434, Россия, Москва, Дмитровское шоссе, 13к1</t>
  </si>
  <si>
    <t>kfc-mmt@qsr-pro.com</t>
  </si>
  <si>
    <t>ООО "КФС-Тимирязевская"</t>
  </si>
  <si>
    <t>Vlasikhinskaya Barnaul</t>
  </si>
  <si>
    <t>Ресторан Власихинская Барнаул</t>
  </si>
  <si>
    <t>656006, Россия, Алтайский край, Барнаул, Власихинская, 67</t>
  </si>
  <si>
    <t>kfclenta@ffaltay.ru</t>
  </si>
  <si>
    <t>Ресторан Власихинска</t>
  </si>
  <si>
    <t>KFC Luganskaya Moscow</t>
  </si>
  <si>
    <t>KFC Луганская Москва</t>
  </si>
  <si>
    <t>115516, Россия, Москва, Луганская, 10</t>
  </si>
  <si>
    <t>kfc-13@akrussia.com</t>
  </si>
  <si>
    <t>KFC Vodniy Mall Moscow</t>
  </si>
  <si>
    <t>KFC Водный Москва</t>
  </si>
  <si>
    <t>125212, Россия, Москва, Головинское шоссе, 5</t>
  </si>
  <si>
    <t>kfc-11@akrussia.com</t>
  </si>
  <si>
    <t>Gasheka Saint-Petersburg</t>
  </si>
  <si>
    <t>Ресторан Гашека Санкт-Петербург</t>
  </si>
  <si>
    <t>192281, Россия, Санкт-Петербург, Ярослава Гашека, 6</t>
  </si>
  <si>
    <t>403156@myrest.team</t>
  </si>
  <si>
    <t>KFC Yaroslavskaya 2 Moscow</t>
  </si>
  <si>
    <t>KFC Ярославский 2 Москва</t>
  </si>
  <si>
    <t>KFC-yaroslavskiy2-1189@cityrst.ru</t>
  </si>
  <si>
    <t>KFC Ярославский 2 Мо</t>
  </si>
  <si>
    <t>Pechatniki Moscow</t>
  </si>
  <si>
    <t>Ресторан Печатники Москва</t>
  </si>
  <si>
    <t>109548, Россия, Москва, Шоссейная, 2к3</t>
  </si>
  <si>
    <t>pechatniki@gfgroup.ru</t>
  </si>
  <si>
    <t>Ресторан Печатники М</t>
  </si>
  <si>
    <t>Ligovsky 48 Saint-Petersburg</t>
  </si>
  <si>
    <t>Ресторан Лиговский 48 Санкт-Петербург</t>
  </si>
  <si>
    <t>191040, Россия, Санкт-Петербург, Лиговский проспект, 48</t>
  </si>
  <si>
    <t>403196@myrest.team</t>
  </si>
  <si>
    <t>Ресторан Лиговский 4</t>
  </si>
  <si>
    <t>Cherkizovskaya Moscow</t>
  </si>
  <si>
    <t>Ресторан Черкизовская Москва</t>
  </si>
  <si>
    <t>107553, Россия, Москва, Окружной проезд, 2Ас1</t>
  </si>
  <si>
    <t>planinvest-10@mail.ru</t>
  </si>
  <si>
    <t>ООО "ПБО Черкизовский Пассаж"</t>
  </si>
  <si>
    <t>KFC Черкизовская Мос</t>
  </si>
  <si>
    <t>KFC Voykovskaya Moscow</t>
  </si>
  <si>
    <t>KFC Войковская Москва</t>
  </si>
  <si>
    <t>125171, Россия, Москва, Ленинградское шоссе, 14с1</t>
  </si>
  <si>
    <t>kfc-voykovskaya@qsr-pro.com</t>
  </si>
  <si>
    <t>ООО "КФС-Войковская"</t>
  </si>
  <si>
    <t>2 027</t>
  </si>
  <si>
    <t>Presnenskiy Val Moscow</t>
  </si>
  <si>
    <t>Ресторан Пресненский Вал Москва</t>
  </si>
  <si>
    <t>123022, Россия, Москва, Пресненский Вал, 6с2</t>
  </si>
  <si>
    <t>presnya@cityrst.ru</t>
  </si>
  <si>
    <t>KFC Domodedovo Moscow</t>
  </si>
  <si>
    <t>KFC Домодедово Москва</t>
  </si>
  <si>
    <t>142015, Россия, Московская область, Домодедово, Аэропорт Домодедово, терминал Е</t>
  </si>
  <si>
    <t>kfc-8@akrussia.com</t>
  </si>
  <si>
    <t>Domodedovo airport</t>
  </si>
  <si>
    <t>Стандарт+50%</t>
  </si>
  <si>
    <t>XXL Sarapul</t>
  </si>
  <si>
    <t>Ресторан XXL Сарапул</t>
  </si>
  <si>
    <t>427960, Россия, Удмуртская республика, Сарапул, Горького, 15А</t>
  </si>
  <si>
    <t>kfcsrpl@restudm.ru</t>
  </si>
  <si>
    <t>ПБО Ижевск, ООО</t>
  </si>
  <si>
    <t>Sarapul</t>
  </si>
  <si>
    <t>Suvorovsky Penza</t>
  </si>
  <si>
    <t>Ресторан Суворовский Пенза</t>
  </si>
  <si>
    <t>440008, Россия, Пензенская область, Пенза, Суворова, 144А</t>
  </si>
  <si>
    <t>suvorovsky@n-vkus.ru</t>
  </si>
  <si>
    <t>Ресторан Суворовский</t>
  </si>
  <si>
    <t>KFC Armada Orenburg</t>
  </si>
  <si>
    <t>KFC Армада Оренбург</t>
  </si>
  <si>
    <t>460000, Россия, Оренбургская область, Оренбург, Шарлыкское шоссе, 1</t>
  </si>
  <si>
    <t>KFC19@grufa.ru</t>
  </si>
  <si>
    <t>ООО "Глобал Фуд Армада"</t>
  </si>
  <si>
    <t>Komsomola 45 Saint-Petersburg</t>
  </si>
  <si>
    <t>Ресторан Комсомола 45 Санкт-Петербург</t>
  </si>
  <si>
    <t>195009, Россия, Санкт-Петербург, Комсомола, 45</t>
  </si>
  <si>
    <t>403199@myrest.team</t>
  </si>
  <si>
    <t>AERO Saint-Petersburg</t>
  </si>
  <si>
    <t>Ресторан АЭРО Санкт-Петербург</t>
  </si>
  <si>
    <t>196240, Россия, Санкт-Петербург, Пулковское шоссе, 21к2</t>
  </si>
  <si>
    <t>403195@myrest.team</t>
  </si>
  <si>
    <t>KFC Sofra Kazan</t>
  </si>
  <si>
    <t>KFC Софра Казань</t>
  </si>
  <si>
    <t>420034, Россия, Татарстан республика, Казань, Декабристов, 131Д</t>
  </si>
  <si>
    <t>403198@myrest.team</t>
  </si>
  <si>
    <t>Vikhino Moscow</t>
  </si>
  <si>
    <t>Ресторан Выхино Москва</t>
  </si>
  <si>
    <t>109542, Россия, Москва, Рязанский проспект, вл99Ас1</t>
  </si>
  <si>
    <t>ryazanskiy@gfgroup.ru</t>
  </si>
  <si>
    <t>Ресторан Выхино Моск</t>
  </si>
  <si>
    <t>Severny Mall Saint-Petersburg</t>
  </si>
  <si>
    <t>Ресторан Северный Молл Санкт-Петербург</t>
  </si>
  <si>
    <t>195276, Россия, Санкт-Петербург, проспект Культуры, 41</t>
  </si>
  <si>
    <t>403203@myrest.team</t>
  </si>
  <si>
    <t>MEGA Dybenko Saint-Petersburg</t>
  </si>
  <si>
    <t>Ресторан МЕГА Дыбенко Санкт-Петербург</t>
  </si>
  <si>
    <t>193315, Россия, Ленинградская область, Всевoлoжский муниципальный район, сп Заневское, Мурманское шоссе, 12-й километр, 1А</t>
  </si>
  <si>
    <t>403200@myrest.team</t>
  </si>
  <si>
    <t>Shell Maryino Moscow</t>
  </si>
  <si>
    <t>Ресторан Шелл Марьино Москва</t>
  </si>
  <si>
    <t>109469, Россия, Москва, Марьинский Парк, 12</t>
  </si>
  <si>
    <t>403206@myrest.team</t>
  </si>
  <si>
    <t>Shell Kaskad Moscow</t>
  </si>
  <si>
    <t>Ресторан Шелл Каскад Москва</t>
  </si>
  <si>
    <t>111625, Россия, Москва, Каскадная, 21</t>
  </si>
  <si>
    <t>403207@myrest.team</t>
  </si>
  <si>
    <t>KFC Tolstogo Makhachkala</t>
  </si>
  <si>
    <t>KFC Толстого Махачкала</t>
  </si>
  <si>
    <t>367913, Россия, Дагестан республика, Махачкала, Толстого, 6</t>
  </si>
  <si>
    <t>kfc.tolstogo@yummy-group.ru</t>
  </si>
  <si>
    <t>KFC Kosmos Stavropol</t>
  </si>
  <si>
    <t>KFC Космос Ставрополь</t>
  </si>
  <si>
    <t>355042, Россия, Ставропольский край, город Ставрополь, Доваторцев, 75А</t>
  </si>
  <si>
    <t>kfc.kosmos@yummy.rest</t>
  </si>
  <si>
    <t>Stavropol</t>
  </si>
  <si>
    <t>Avtozavod Izhevsk</t>
  </si>
  <si>
    <t>Ресторан Автозавод Ижевск</t>
  </si>
  <si>
    <t>426065, Россия, Удмуртская республика, Ижевск, Автозаводская, 32Б</t>
  </si>
  <si>
    <t>kfcavto@restudm.ru</t>
  </si>
  <si>
    <t>Ресторан Автозавод И</t>
  </si>
  <si>
    <t>Tatneft Narodnaya Saint-Petersburg</t>
  </si>
  <si>
    <t>Ресторан Татнефть Народная Санкт-Петербург</t>
  </si>
  <si>
    <t>193315, Россия, Санкт-Петербург, Народная, 100</t>
  </si>
  <si>
    <t>403190@myrest.team</t>
  </si>
  <si>
    <t>Chkalova Perm</t>
  </si>
  <si>
    <t>Ресторан Чкалова Пермь</t>
  </si>
  <si>
    <t>614010, Россия, Пермский край, Пермь, Чкалова, 30</t>
  </si>
  <si>
    <t>kfcchkalova@restudm.ru</t>
  </si>
  <si>
    <t>ООО "КФС Пирамида"</t>
  </si>
  <si>
    <t>Perm</t>
  </si>
  <si>
    <t>Ресторан Чкалова Пер</t>
  </si>
  <si>
    <t>KFC Kulakova Stavropol</t>
  </si>
  <si>
    <t>KFC Кулакова Ставрополь</t>
  </si>
  <si>
    <t>355035, Россия, Ставропольский край, город Ставрополь, проспект Кулакова, 7/1А</t>
  </si>
  <si>
    <t>kfc.kulakova@yummy.rest</t>
  </si>
  <si>
    <t>KFC Elninskaya Moscow</t>
  </si>
  <si>
    <t>KFC Ельнинская Москва</t>
  </si>
  <si>
    <t>121552, Россия, Москва, Ельнинская, 23</t>
  </si>
  <si>
    <t>kfc-elninskaya@cityrst.ru</t>
  </si>
  <si>
    <t>Bagration Most Moscow</t>
  </si>
  <si>
    <t>Ресторан Багратион мост Москва</t>
  </si>
  <si>
    <t>123317, Россия, Москва, Пресненская набережная, 4с1</t>
  </si>
  <si>
    <t>kfc-Bagration@cityrst.ru</t>
  </si>
  <si>
    <t>MKAD 106 Moscow</t>
  </si>
  <si>
    <t>Ресторан МКАД 106 Москва</t>
  </si>
  <si>
    <t>143912, Россия, Московская область, Балашиха, микрорайон 1 мая, вл. 41</t>
  </si>
  <si>
    <t>mkad106@gfgroup.ru</t>
  </si>
  <si>
    <t>ООО "ГФГ Балашиха"</t>
  </si>
  <si>
    <t>Ресторан МКАД 106 Мо</t>
  </si>
  <si>
    <t>KFC Alekseevskaya Moscow</t>
  </si>
  <si>
    <t>KFC Алексеевская Москва</t>
  </si>
  <si>
    <t>129626, Россия, Москва, проспект Мира, 114б, стр. 2</t>
  </si>
  <si>
    <t>kfc-15@akrussia.com</t>
  </si>
  <si>
    <t>Kirpichny Saint-Petersburg</t>
  </si>
  <si>
    <t>Ресторан Кирпичный Санкт-Петербург</t>
  </si>
  <si>
    <t>191186, Россия, Санкт-Петербург, Кирпичный переулок, 4</t>
  </si>
  <si>
    <t>403175@myrest.team</t>
  </si>
  <si>
    <t>KFC Mega Kazan</t>
  </si>
  <si>
    <t>KFC Мега Казань</t>
  </si>
  <si>
    <t>420100, Россия, Татарстан республика, Казань, проспект Победы, 141</t>
  </si>
  <si>
    <t>403188@myrest.team</t>
  </si>
  <si>
    <t>KFC Nebo Nizhny Novgorod</t>
  </si>
  <si>
    <t>KFC Небо Нижний Новгород</t>
  </si>
  <si>
    <t>603022, Россия, Нижегородская область, Нижний Новгород, Большая Покровская, 82</t>
  </si>
  <si>
    <t>403138@myrest.team</t>
  </si>
  <si>
    <t>Galaktika Barnaul</t>
  </si>
  <si>
    <t>Ресторан Галактика Барнаул</t>
  </si>
  <si>
    <t>656031, Россия, Алтайский край, Барнаул, проспект Строителей, 117</t>
  </si>
  <si>
    <t>kfcgalaktika@ffaltay.ru</t>
  </si>
  <si>
    <t>Ресторан Галактика Б</t>
  </si>
  <si>
    <t>KFC Leningradskiy vokzal Moscow</t>
  </si>
  <si>
    <t>KFC Ленинградский вокзал Москва</t>
  </si>
  <si>
    <t>107140, Россия, Москва, Комсомольская площадь, 3</t>
  </si>
  <si>
    <t>kfc-leningradskiy-1190@cityrst.ru</t>
  </si>
  <si>
    <t>KFC Ленинградский во</t>
  </si>
  <si>
    <t>KFC Krasnaya Presnya Moscow</t>
  </si>
  <si>
    <t>KFC Красная Пресня Москва</t>
  </si>
  <si>
    <t>123242, Россия, Москва, Красная Пресня, 4</t>
  </si>
  <si>
    <t>kfc-4@akrussia.com</t>
  </si>
  <si>
    <t>Vegas Kuntsevo Moscow</t>
  </si>
  <si>
    <t>Ресторан Вегас Кунцево Москва</t>
  </si>
  <si>
    <t>143025, Россия, Москва, МКАД, 55-й километр, 1</t>
  </si>
  <si>
    <t>kfc.vegas.kuntsevo@gmail.com</t>
  </si>
  <si>
    <t>ООО "Активпипл"</t>
  </si>
  <si>
    <t>Ресторан Вегас Кунце</t>
  </si>
  <si>
    <t>Krasnaya Ploshad Armavir</t>
  </si>
  <si>
    <t>Ресторан Красная Площадь Армавир</t>
  </si>
  <si>
    <t>352922, Россия, Краснодарский край, Армавир, Воровского, 69</t>
  </si>
  <si>
    <t>403287@myrest.team</t>
  </si>
  <si>
    <t>Armavir</t>
  </si>
  <si>
    <t>Стандарт+20%</t>
  </si>
  <si>
    <t>Krasnaya Krasnodar</t>
  </si>
  <si>
    <t>Ресторан Красная Краснодар</t>
  </si>
  <si>
    <t>350000, Россия, Краснодарский край, Краснодар, Красная, 67</t>
  </si>
  <si>
    <t>403222@myrest.team</t>
  </si>
  <si>
    <t>ООО "Чикен Юг"</t>
  </si>
  <si>
    <t>Krasnodar</t>
  </si>
  <si>
    <t>KFC Lotos Krasnodar</t>
  </si>
  <si>
    <t>KFC Лотос Краснодар</t>
  </si>
  <si>
    <t>350001, Россия, Краснодарский край, Краснодар, Ставропольская, 110/1</t>
  </si>
  <si>
    <t>403223@myrest.team</t>
  </si>
  <si>
    <t>KFC Ubileyniy Krasnodar</t>
  </si>
  <si>
    <t>KFC Юбилейный Краснодар</t>
  </si>
  <si>
    <t>350089, Россия, Краснодарский край, Краснодар, проспект Чекистов, 17</t>
  </si>
  <si>
    <t>403282@myrest.team</t>
  </si>
  <si>
    <t>1 Maya Krasnodar</t>
  </si>
  <si>
    <t>Ресторан 1 Мая Краснодар</t>
  </si>
  <si>
    <t>350901, Россия, Краснодарский край, Краснодар, 1 Мая, 168</t>
  </si>
  <si>
    <t>403225@myrest.team</t>
  </si>
  <si>
    <t>KFC Sineva Krymsk</t>
  </si>
  <si>
    <t>KFC Синева Крымск</t>
  </si>
  <si>
    <t>353380, Россия, Краснодарский край, Крымск, Синева , 2Б</t>
  </si>
  <si>
    <t>403288@myrest.team</t>
  </si>
  <si>
    <t>Krymsk</t>
  </si>
  <si>
    <t>KFC Dzerzhinskogo Krasnodar</t>
  </si>
  <si>
    <t>KFC Дзержинского Краснодар</t>
  </si>
  <si>
    <t>350005, Россия, Краснодарский край, Краснодар, Дзержинского, 100</t>
  </si>
  <si>
    <t>403284@myrest.team</t>
  </si>
  <si>
    <t>Temruk Temruk</t>
  </si>
  <si>
    <t>Ресторан Темрюк Темрюк</t>
  </si>
  <si>
    <t>353500, Россия, Краснодарский край, Темрюк, Кирова, 1</t>
  </si>
  <si>
    <t>403289@myrest.team</t>
  </si>
  <si>
    <t>Temryuk</t>
  </si>
  <si>
    <t>KFC Slavyansk Slavyansk-na-Kubani</t>
  </si>
  <si>
    <t>KFC Славянск Славянск-на-Кубани</t>
  </si>
  <si>
    <t>353560, Россия, Краснодарский край, Славянск-на-Кубани, Гриня, 217</t>
  </si>
  <si>
    <t>403232@myrest.team</t>
  </si>
  <si>
    <t>Slavyansk-na-Kubani</t>
  </si>
  <si>
    <t>KFC More Mall Sochi</t>
  </si>
  <si>
    <t>KFC Море Молл Сочи</t>
  </si>
  <si>
    <t>354068, Россия, Краснодарский край, Сочи, Новая Заря, 7</t>
  </si>
  <si>
    <t>403233@myrest.team</t>
  </si>
  <si>
    <t>Sochi</t>
  </si>
  <si>
    <t>KFC Alma-Atinskaya Krasnodar</t>
  </si>
  <si>
    <t>KFC Алма-Атинская Краснодар</t>
  </si>
  <si>
    <t>350004, Россия, Краснодарский край, Краснодар, Алма-Атинская, 139</t>
  </si>
  <si>
    <t>403228@myrest.team</t>
  </si>
  <si>
    <t>KFC Urovni Krasnodar</t>
  </si>
  <si>
    <t>KFC Уровни Краснодар</t>
  </si>
  <si>
    <t>350075, Россия, Краснодарский край, Краснодар, Стасова, 186</t>
  </si>
  <si>
    <t>403292@myrest.team</t>
  </si>
  <si>
    <t>OZ MAll Krasnodar</t>
  </si>
  <si>
    <t>Ресторан Оз Молл Краснодар</t>
  </si>
  <si>
    <t>350023, Россия, Краснодарский край, Краснодар, Крылатая, 2</t>
  </si>
  <si>
    <t>403278@myrest.team</t>
  </si>
  <si>
    <t>40 let Pobedy Krasnodar</t>
  </si>
  <si>
    <t>Ресторан 40 лет Победы Краснодар</t>
  </si>
  <si>
    <t>350000, Россия, Краснодарский край, Краснодар, имени 40-летия Победы, 20/1</t>
  </si>
  <si>
    <t>403221@myrest.team</t>
  </si>
  <si>
    <t>7 Stars Krasnodar</t>
  </si>
  <si>
    <t>Ресторан 7 Звезд Краснодар</t>
  </si>
  <si>
    <t>350059, Россия, Краснодарский край, Краснодар, Уральская, 104А</t>
  </si>
  <si>
    <t>403271@myrest.team</t>
  </si>
  <si>
    <t>KFC Kavkaz Krasnodar</t>
  </si>
  <si>
    <t>KFC Кавказ Краснодар</t>
  </si>
  <si>
    <t>350020, Россия, Краснодарский край, Краснодар, Коммунаров, 268</t>
  </si>
  <si>
    <t>403272@myrest.team</t>
  </si>
  <si>
    <t>Adygeya Krasnodar</t>
  </si>
  <si>
    <t>Ресторан Адыгея Краснодар</t>
  </si>
  <si>
    <t>385132, Россия, Адыгея республика, Тахтамукайский район, п Новая Адыгея, Тургеневское шоссе, 27</t>
  </si>
  <si>
    <t>403273@myrest.team</t>
  </si>
  <si>
    <t>KFC Galereya Krasnodar</t>
  </si>
  <si>
    <t>KFC Галерея Краснодар</t>
  </si>
  <si>
    <t>350000, Россия, Краснодарский край, Краснодар, Володи Головатого, 313</t>
  </si>
  <si>
    <t>403216@myrest.team</t>
  </si>
  <si>
    <t>KFC Stavropolskaya Krasnodar</t>
  </si>
  <si>
    <t>KFC Ставропольская Краснодар</t>
  </si>
  <si>
    <t>350001, Россия, Краснодарский край, Краснодар, Ставропольская, 95</t>
  </si>
  <si>
    <t>403217@myrest.team</t>
  </si>
  <si>
    <t>KFC Galaktika Krasnodar</t>
  </si>
  <si>
    <t>KFC Галактика Краснодар</t>
  </si>
  <si>
    <t>350080, Россия, Краснодарский край, Краснодар, Сормовская, 178-180/1</t>
  </si>
  <si>
    <t>403218@myrest.team</t>
  </si>
  <si>
    <t>KFC Krasnaya Ploshad Krasnodar</t>
  </si>
  <si>
    <t>KFC Красная площадь Краснодар</t>
  </si>
  <si>
    <t>350000, Россия, Краснодарский край, Краснодар, Дзержинского, 100</t>
  </si>
  <si>
    <t>403277@myrest.team</t>
  </si>
  <si>
    <t>Mira Sterlitamak</t>
  </si>
  <si>
    <t>Ресторан Мира Стерлитамак</t>
  </si>
  <si>
    <t>453101, Россия, Башкортостан республика, Стерлитамак, Мира, 1Бс5</t>
  </si>
  <si>
    <t>Kfc20@grufa.ru</t>
  </si>
  <si>
    <t>ООО "Глобал Фуд Мира"</t>
  </si>
  <si>
    <t>Ресторан Мира Стерли</t>
  </si>
  <si>
    <t>KFC Universitet Stavropol</t>
  </si>
  <si>
    <t>KFC Университет Ставрополь</t>
  </si>
  <si>
    <t>355002, Россия, Ставропольский край, город Ставрополь, Мира, 300</t>
  </si>
  <si>
    <t>kfc.university@yummy.rest</t>
  </si>
  <si>
    <t>Gostiniy Dvor Ufa</t>
  </si>
  <si>
    <t>Ресторан Гостиный двор Уфа</t>
  </si>
  <si>
    <t>450077, Россия, Башкортостан республика, Уфа, Верхнеторговая пл., д. 1</t>
  </si>
  <si>
    <t>kfc21@grufa.ru</t>
  </si>
  <si>
    <t>ООО "Глобал Фуд Гд"</t>
  </si>
  <si>
    <t>Ресторан Гостиный дв</t>
  </si>
  <si>
    <t>Statoil Sofiyskaya Saint-Petersburg</t>
  </si>
  <si>
    <t>Ресторан Статойл Софийская Санкт-Петербург</t>
  </si>
  <si>
    <t>192289, Россия, Санкт-Петербург, Софийская, 89</t>
  </si>
  <si>
    <t>403121@myrest.team</t>
  </si>
  <si>
    <t>Aviamotornaya 2 Moscow</t>
  </si>
  <si>
    <t>Ресторан Авиамоторная 2 Москва</t>
  </si>
  <si>
    <t>111024, Россия, Москва, шоссе Энтузиастов, 20</t>
  </si>
  <si>
    <t>planinvest-11@mail.ru</t>
  </si>
  <si>
    <t>Ресторан Авиамоторна</t>
  </si>
  <si>
    <t>Omega Izhevsk</t>
  </si>
  <si>
    <t>Ресторан Омега Ижевск</t>
  </si>
  <si>
    <t>426011, Россия, Удмуртская республика, Ижевск, 10 лет Октября, 32</t>
  </si>
  <si>
    <t>kfcomega@restudm.ru</t>
  </si>
  <si>
    <t>Ресторан Омега Ижевс</t>
  </si>
  <si>
    <t>Chkalovsky Saint-Petersburg</t>
  </si>
  <si>
    <t>Ресторан Чкаловский Санкт-Петербург</t>
  </si>
  <si>
    <t>197110, Россия, Санкт-Петербург, Большая Разночинная, 16</t>
  </si>
  <si>
    <t>403236@myrest.team</t>
  </si>
  <si>
    <t>Parashutnaya Saint-Petersburg</t>
  </si>
  <si>
    <t>Ресторан Парашютная Санкт-Петербург</t>
  </si>
  <si>
    <t>197349, Россия, Санкт-Петербург, Парашютная, 75 к1</t>
  </si>
  <si>
    <t>403197@myrest.team</t>
  </si>
  <si>
    <t>KFC Zanevsky Union Saint-Petersburg</t>
  </si>
  <si>
    <t>KFC Заневский Юнион Санкт-Петербург</t>
  </si>
  <si>
    <t>195112, Россия, Санкт-Петербург, Заневский проспект, 77</t>
  </si>
  <si>
    <t>403194@myrest.team</t>
  </si>
  <si>
    <t>Politekh Saratov</t>
  </si>
  <si>
    <t>Ресторан Политех Саратов</t>
  </si>
  <si>
    <t>410054, Россия, Саратовская область, Саратов, 2-я Садовая, 106/137с2</t>
  </si>
  <si>
    <t>politech@kfc-saratov.ru</t>
  </si>
  <si>
    <t>Ресторан Политех Сар</t>
  </si>
  <si>
    <t>AZS Lukoil Khimki Moscow</t>
  </si>
  <si>
    <t>Ресторан АЗС Лукойл Химки Москва</t>
  </si>
  <si>
    <t>141402, Россия, Московская область, Химки, Ленинградское шоссе, 23-й километр, корпус 36</t>
  </si>
  <si>
    <t>Khimki@gfgroup.ru</t>
  </si>
  <si>
    <t>ООО "ЛБК"</t>
  </si>
  <si>
    <t>Khimki</t>
  </si>
  <si>
    <t>Ресторан АЗС Лукойл</t>
  </si>
  <si>
    <t>KFC Kazbekova Makhachkala</t>
  </si>
  <si>
    <t>KFC Казбекова Махачкала</t>
  </si>
  <si>
    <t>367027, Россия, Дагестан республика, Махачкала, Магомедтагирова, 161Е</t>
  </si>
  <si>
    <t>kfc.kazbekova@yummy-group.ru</t>
  </si>
  <si>
    <t>Izmailovskoe shosse Moscow</t>
  </si>
  <si>
    <t>Ресторан Измайловское шоссе Москва</t>
  </si>
  <si>
    <t>105187, Россия, Москва, Измайловское шоссе, 69Г</t>
  </si>
  <si>
    <t>planinvest12@mail.ru</t>
  </si>
  <si>
    <t>Ресторан Измайловско</t>
  </si>
  <si>
    <t>KFC Plaza Rostov-on-Don</t>
  </si>
  <si>
    <t>KFC Плаза Ростов-на-Дону</t>
  </si>
  <si>
    <t>344091, Россия, Ростовская область, Ростов-на-Дону, Коммунистический проспект, 30</t>
  </si>
  <si>
    <t>kfc.plaza@yummy-group.ru</t>
  </si>
  <si>
    <t>KFC Raduga Taganrog</t>
  </si>
  <si>
    <t>KFC Радуга Таганрог</t>
  </si>
  <si>
    <t>347904, Россия, Ростовская область, Таганрог, Гоголевский переулок, 4А</t>
  </si>
  <si>
    <t>kfc.raduga@yummy.rest</t>
  </si>
  <si>
    <t>Taganrog</t>
  </si>
  <si>
    <t>Afina Armavir</t>
  </si>
  <si>
    <t>Ресторан Афина Армавир</t>
  </si>
  <si>
    <t>352931, Россия, Краснодарский край, Армавир, Комсомольская, 116</t>
  </si>
  <si>
    <t>403235@myrest.team</t>
  </si>
  <si>
    <t>Optima Leninsk-Kuznetsky</t>
  </si>
  <si>
    <t>Ресторан Оптима Ленинск-Кузнецкий</t>
  </si>
  <si>
    <t>652515, Россия, Кемеровская область, Ленинск-Кузнецкий, Пушкина, 90</t>
  </si>
  <si>
    <t>kfc_leninsk_kuznetskiy@kfc42.ru</t>
  </si>
  <si>
    <t>Leninsk-Kuznetsky</t>
  </si>
  <si>
    <t>Ресторан Оптима Лени</t>
  </si>
  <si>
    <t>Sergiev Posad Sergiev Posad</t>
  </si>
  <si>
    <t>Ресторан Сергиев Посад Сергиев Посад</t>
  </si>
  <si>
    <t>141310, Россия, Московская область, Сергиев Посад, проспект Красной Армии, 185А</t>
  </si>
  <si>
    <t>planinvest5@mail.ru</t>
  </si>
  <si>
    <t>Sergiev-Posad</t>
  </si>
  <si>
    <t>KFC Сергиев Посад Се</t>
  </si>
  <si>
    <t>Kirovsk Kirovsk</t>
  </si>
  <si>
    <t>Ресторан Кировск Кировск</t>
  </si>
  <si>
    <t>187342, Россия, Ленинградская область, Кировск, Набережная, 15</t>
  </si>
  <si>
    <t>403055@myrest.team</t>
  </si>
  <si>
    <t>Kirovsk</t>
  </si>
  <si>
    <t>Смартбокс</t>
  </si>
  <si>
    <t>Atrium Moscow</t>
  </si>
  <si>
    <t>Ресторан Атриум Москва</t>
  </si>
  <si>
    <t>105064, Россия, Москва, Земляной Вал, 33</t>
  </si>
  <si>
    <t>atrium@gfgroup.ru</t>
  </si>
  <si>
    <t>Ресторан Атриум Моск</t>
  </si>
  <si>
    <t>KFC Shell Rzhavki Moscow</t>
  </si>
  <si>
    <t>KFC Шелл Ржавки Москва</t>
  </si>
  <si>
    <t>124482, Россия, Московская область, Солнечногорский микрорайон, пгт. Ржавки, Ленинградское шоссе, 38-й километр, с1.</t>
  </si>
  <si>
    <t>Kfc-shell-rzhavki@mail.ru</t>
  </si>
  <si>
    <t>Бистрот</t>
  </si>
  <si>
    <t>ООО "Бистрот"</t>
  </si>
  <si>
    <t>Rzhavki</t>
  </si>
  <si>
    <t>KFC Шелл Ржавки Моск</t>
  </si>
  <si>
    <t>Torgovy kvartal Naberezhnye Chelny</t>
  </si>
  <si>
    <t>Ресторан Торговый квартал Набережные Челны</t>
  </si>
  <si>
    <t>423821, Россия, Татарстан республика, Набережные Челны, проспект Мира, 3</t>
  </si>
  <si>
    <t>kfctk@restudm.ru</t>
  </si>
  <si>
    <t>Oblaka Engels</t>
  </si>
  <si>
    <t>Ресторан Облака Энгельс</t>
  </si>
  <si>
    <t>413100, Россия, Саратовская область, Энгельс, Тельмана, 25</t>
  </si>
  <si>
    <t>oblaka@kfc-saratov.ru</t>
  </si>
  <si>
    <t>Engels</t>
  </si>
  <si>
    <t>Ресторан Облака Энге</t>
  </si>
  <si>
    <t>Okhta Mall Saint-Petersburg</t>
  </si>
  <si>
    <t>Ресторан Охта Молл Санкт-Петербург</t>
  </si>
  <si>
    <t>195027, Россия, Санкт-Петербург, Брантовская дорога, 3</t>
  </si>
  <si>
    <t>403237@myrest.team</t>
  </si>
  <si>
    <t>Benua Saint-Petersburg</t>
  </si>
  <si>
    <t>Ресторан Бенуа Санкт-Петербург</t>
  </si>
  <si>
    <t>195027, Россия, Санкт-Петербург, Жукова, 2А</t>
  </si>
  <si>
    <t>403106@myrest.team</t>
  </si>
  <si>
    <t>KFC Okhotny Ryad Moscow</t>
  </si>
  <si>
    <t>KFC Охотный Ряд Москва</t>
  </si>
  <si>
    <t>125009, Россия, Москва, Манежная площадь, 1с2</t>
  </si>
  <si>
    <t>manezh@gfgroup.ru</t>
  </si>
  <si>
    <t>KFC Охотный Ряд Моск</t>
  </si>
  <si>
    <t>KFC Mega Grinn Orel</t>
  </si>
  <si>
    <t>KFC Мега Гринн Орел</t>
  </si>
  <si>
    <t>302042, Россия, Орловская область, Орёл, Кромское шоссе, 4</t>
  </si>
  <si>
    <t>kfc-orel-grinn@cityrst.ru</t>
  </si>
  <si>
    <t>Oryol</t>
  </si>
  <si>
    <t>KFC Megamag Rostov-on-Don</t>
  </si>
  <si>
    <t>KFC Мегамаг Ростов-на-Дону</t>
  </si>
  <si>
    <t>344002, Россия, Ростовская область, Ростов-на-Дону, Пойменная, 1</t>
  </si>
  <si>
    <t>kfc.megamag@yummy-group.ru</t>
  </si>
  <si>
    <t>KFC Kim Yu Chena Khabarovsk</t>
  </si>
  <si>
    <t>KFC Ким Ю Чена Хабаровск</t>
  </si>
  <si>
    <t>680021, Россия, Хабаровский край, Хабаровск, Ким Ю Чена, 44</t>
  </si>
  <si>
    <t>kfc.kimuchen@goodfood-dv.ru</t>
  </si>
  <si>
    <t>ООО "Гудфуд Ресторантс"</t>
  </si>
  <si>
    <t>Khabarovsk</t>
  </si>
  <si>
    <t>KFC Ким Ю Чена Хабар</t>
  </si>
  <si>
    <t>KFC Likino Moscow</t>
  </si>
  <si>
    <t>KFC Ликино Москва</t>
  </si>
  <si>
    <t>143020, Россия, Московская область, Одинцовский городской округ, М-1 Беларусь, 35-й километр, 2</t>
  </si>
  <si>
    <t>KFC0474@irb.rest</t>
  </si>
  <si>
    <t>ИРБ</t>
  </si>
  <si>
    <t>ООО "Интернэшнл Ресторант Брэндс"</t>
  </si>
  <si>
    <t>Likino</t>
  </si>
  <si>
    <t>Mikluho-Maklaya 2 Moscow</t>
  </si>
  <si>
    <t>Ресторан Миклухо-Маклая 2 Москва</t>
  </si>
  <si>
    <t>117198, Россия, Москва, Миклухо-Маклая, 11</t>
  </si>
  <si>
    <t>kfc-miklukho-maklaya@cityrst.ru</t>
  </si>
  <si>
    <t>KFC Serebryany gorod Ivanovo</t>
  </si>
  <si>
    <t>KFC Серебряный город Иваново</t>
  </si>
  <si>
    <t>153037, Россия, Ивановская область, Иваново, 8 Марта, 32</t>
  </si>
  <si>
    <t>kfc-20@akrussia.com</t>
  </si>
  <si>
    <t>Ivanovo</t>
  </si>
  <si>
    <t>KFC Ostrovok Makhachkala</t>
  </si>
  <si>
    <t>KFC Островок Махачкала</t>
  </si>
  <si>
    <t>367015, Россия, Дагестан республика, Махачкала, ул. Акушинского, 391</t>
  </si>
  <si>
    <t>kfc.ostrovok@yummy-group.ru</t>
  </si>
  <si>
    <t>Centralny Ufa</t>
  </si>
  <si>
    <t>Ресторан Центральный Уфа</t>
  </si>
  <si>
    <t>450006, Россия, Башкортостан республика, Уфа, Цюрупы, 97</t>
  </si>
  <si>
    <t>kfc26@grufa.ru</t>
  </si>
  <si>
    <t>ООО "Глобал Фуд Центральный"</t>
  </si>
  <si>
    <t>Ресторан Центральный</t>
  </si>
  <si>
    <t>Neftekamsk Neftekamsk</t>
  </si>
  <si>
    <t>Ресторан Нефтекамск Нефтекамск</t>
  </si>
  <si>
    <t>452687, Россия, Башкортостан республика, Нефтекамск, Юбилейный проспект, 18</t>
  </si>
  <si>
    <t>kfc23@grufa.ru</t>
  </si>
  <si>
    <t>ООО "Глобал Фуд Нефтекамск"</t>
  </si>
  <si>
    <t>Neftekamsk</t>
  </si>
  <si>
    <t>Ресторан Нефтекамск</t>
  </si>
  <si>
    <t>Kosmonavtov Ufa</t>
  </si>
  <si>
    <t>Ресторан Космонавтов Уфа</t>
  </si>
  <si>
    <t>450044, Россия, Башкортостан республика, Уфа, Космонавтов, 12</t>
  </si>
  <si>
    <t>kfc24@grufa.ru</t>
  </si>
  <si>
    <t>ООО "Глобал Фуд Космонавтов"</t>
  </si>
  <si>
    <t>Ресторан Космонавтов</t>
  </si>
  <si>
    <t>KFC Olimp Tver</t>
  </si>
  <si>
    <t>KFC Олимп Тверь</t>
  </si>
  <si>
    <t>170100, Россия, Тверская область, Тверь, Тверской проспект, 2</t>
  </si>
  <si>
    <t>kfc-tver-olimp-1221@cityrst.ru</t>
  </si>
  <si>
    <t>KFC Churilkovo Moscow</t>
  </si>
  <si>
    <t>KFC Чурилково Москва</t>
  </si>
  <si>
    <t>142030, Россия, Московская область, Домодедово, А-105, 38-й километр, с4</t>
  </si>
  <si>
    <t>KFC0666@irb.rest</t>
  </si>
  <si>
    <t>Churilkovo</t>
  </si>
  <si>
    <t>KFC Aprelevka Moscow</t>
  </si>
  <si>
    <t>KFC Апрелевка Москва</t>
  </si>
  <si>
    <t>143362, Россия, Московская область, Апрелевка, Некрасова, 27</t>
  </si>
  <si>
    <t>KFC0463@irb.rest</t>
  </si>
  <si>
    <t>Aprelevka</t>
  </si>
  <si>
    <t>KFC Akvarel Pushkino Moscow</t>
  </si>
  <si>
    <t>KFC Акварель Пушкино Москва</t>
  </si>
  <si>
    <t>141205, Россия, Московская область, Пушкинский муниципальный район, гп Пушкино, Пушкино, территория 33-й км автодороги М8 Холмогоры, стр. 18</t>
  </si>
  <si>
    <t>KFC0938@irb.rest</t>
  </si>
  <si>
    <t>Pushkino</t>
  </si>
  <si>
    <t>KFC Borisovsky Moscow</t>
  </si>
  <si>
    <t>KFC Борисовский Москва</t>
  </si>
  <si>
    <t>115563, Россия, Москва, Борисовский проезд, вл46А</t>
  </si>
  <si>
    <t>KFC-BORISOVSKY@FFM.REST</t>
  </si>
  <si>
    <t>ГарантИнвест</t>
  </si>
  <si>
    <t>ООО "Фаст Фуд Маркет"</t>
  </si>
  <si>
    <t>KFC Karamel Moscow</t>
  </si>
  <si>
    <t>KFC Карамель Москва</t>
  </si>
  <si>
    <t>111394, Россия, Москва, Перовская, 61А</t>
  </si>
  <si>
    <t>KFC-KARAMEL@FFM.REST</t>
  </si>
  <si>
    <t>Noyabrsk Drive Noyabrsk</t>
  </si>
  <si>
    <t>Ресторан Ноябрьск Драйв Ноябрьск</t>
  </si>
  <si>
    <t>629803, Россия, Ямало-Ненецкий автономный округ, Ноябрьск, Советская, 92</t>
  </si>
  <si>
    <t>drive@multi-menu.com</t>
  </si>
  <si>
    <t>Noyabrsk</t>
  </si>
  <si>
    <t>Ресторан Ноябрьск Др</t>
  </si>
  <si>
    <t>KFC Pavlovskaya Sloboda Moscow</t>
  </si>
  <si>
    <t>KFC Павловская Слобода Москва</t>
  </si>
  <si>
    <t>143581, Россия, Московская область, с Павловская Слобода, Ленина, 73</t>
  </si>
  <si>
    <t>KFC0437@irb.rest</t>
  </si>
  <si>
    <t>Pavlovskaya Sloboda</t>
  </si>
  <si>
    <t>KFC Vladimir Vladimir</t>
  </si>
  <si>
    <t>KFC Владимир Владимир</t>
  </si>
  <si>
    <t>600000, Россия, Владимирская область, Владимир, Гагарина, 2Б</t>
  </si>
  <si>
    <t>kfc-21@akrussia.com</t>
  </si>
  <si>
    <t>Vladimir</t>
  </si>
  <si>
    <t>KFC Galaktika Smolensk</t>
  </si>
  <si>
    <t>KFC Галактика Смоленск</t>
  </si>
  <si>
    <t>214012, Россия, Смоленская область, Смоленск, Ново-Московская, 2/8</t>
  </si>
  <si>
    <t>kfc-19@akrussia.com</t>
  </si>
  <si>
    <t>Smolensk</t>
  </si>
  <si>
    <t>KFC Галактика Смолен</t>
  </si>
  <si>
    <t>KFC Sheremetyevo B Khimki</t>
  </si>
  <si>
    <t>KFC Шереметьево В Химки</t>
  </si>
  <si>
    <t>141400, Россия, Московская область, Химки, Аэропорт Шереметьево</t>
  </si>
  <si>
    <t>KFC-25@akrussia.com</t>
  </si>
  <si>
    <t>Sheremetyevo airport</t>
  </si>
  <si>
    <t>KFC Premier Ryazan</t>
  </si>
  <si>
    <t>KFC Премьер Рязань</t>
  </si>
  <si>
    <t>390044, Россия, Рязанская область, Рязань, Московское шоссе, 21</t>
  </si>
  <si>
    <t>kfc-31@akrussia.com</t>
  </si>
  <si>
    <t>Ryazan</t>
  </si>
  <si>
    <t>KFC PTK Lugovaya Vladivostok</t>
  </si>
  <si>
    <t>KFC ПТК Луговая Владивосток</t>
  </si>
  <si>
    <t>690005, Россия, Приморский край, Владивосток, Луговая, 18</t>
  </si>
  <si>
    <t>kfc.lugovaya@goodfood-dv.ru</t>
  </si>
  <si>
    <t>ООО "Гудфуд ДВ"</t>
  </si>
  <si>
    <t>KFC ПТК Луговая Влад</t>
  </si>
  <si>
    <t>KFC Prospekt Mira Nakhodka</t>
  </si>
  <si>
    <t>KFC Проспект Мира Находка</t>
  </si>
  <si>
    <t>692928, Россия, Приморский край, Находка, проспект Мира, 1К</t>
  </si>
  <si>
    <t>kfc.prospektmira@goodfood-dv.ru</t>
  </si>
  <si>
    <t>Nakhodka</t>
  </si>
  <si>
    <t>KFC Проспект Мира На</t>
  </si>
  <si>
    <t>KFC Aleutsky Vladivostok</t>
  </si>
  <si>
    <t>KFC Алеутский Владивосток</t>
  </si>
  <si>
    <t>690091, Россия, Приморский край, Владивосток, Алеутская, 25</t>
  </si>
  <si>
    <t>kfc.aleutsky@goodfood-dv.ru</t>
  </si>
  <si>
    <t>KFC Алеутский Владив</t>
  </si>
  <si>
    <t>KFC Krzhizhanovskogo Moscow</t>
  </si>
  <si>
    <t>KFC Кржижановского Москва</t>
  </si>
  <si>
    <t>117218, Россия, Москва, Кржижановского, 18к3</t>
  </si>
  <si>
    <t>kfc-29@akrussia.com</t>
  </si>
  <si>
    <t>Kommunarsky Biysk</t>
  </si>
  <si>
    <t>Ресторан Коммунарский Бийск</t>
  </si>
  <si>
    <t>659300, Россия, Алтайский край, Бийск, Коммунарский переулок, 18</t>
  </si>
  <si>
    <t>kfckommunarskiy@ffaltay.ru</t>
  </si>
  <si>
    <t>ООО "Чикен Лаб"</t>
  </si>
  <si>
    <t>Biysk</t>
  </si>
  <si>
    <t>KFC Коммунарский Бий</t>
  </si>
  <si>
    <t>KFC Vokzal Chelyabinsk</t>
  </si>
  <si>
    <t>KFC Вокзал Челябинск</t>
  </si>
  <si>
    <t>454091, Россия, Челябинская область, Челябинск, Свободы, 185А</t>
  </si>
  <si>
    <t>kfc22@grufa.ru</t>
  </si>
  <si>
    <t>ООО "Глобал Фуд Вокзал"</t>
  </si>
  <si>
    <t>KFC Rozhdestvenka Moscow</t>
  </si>
  <si>
    <t>KFC Рождественка Москва</t>
  </si>
  <si>
    <t>107031, Россия, Москва, Рождественка, 6/9/20с1</t>
  </si>
  <si>
    <t>kfc-rozhdestvenka-1227@cityrst.ru</t>
  </si>
  <si>
    <t>Maxi Tula</t>
  </si>
  <si>
    <t>Ресторан Макси Тула</t>
  </si>
  <si>
    <t>300001, Россия, Тульская область, Тула, Пролетарская, 2</t>
  </si>
  <si>
    <t>tula.maxi@katubr.ru</t>
  </si>
  <si>
    <t>KFC M. Sadovaya St. Petersburg</t>
  </si>
  <si>
    <t>KFC М. Садовая Санкт-Петербург</t>
  </si>
  <si>
    <t>191023, Россия, Санкт-Петербург, Невский проспект, 56</t>
  </si>
  <si>
    <t>403240@myrest.team</t>
  </si>
  <si>
    <t>KFC Okey Mmoll Murmansk</t>
  </si>
  <si>
    <t>KFC Окей Ммолл Мурманск</t>
  </si>
  <si>
    <t>183038, Россия, Мурманская область, Мурманск, проспект Ленина, 32</t>
  </si>
  <si>
    <t>403131@myrest.team</t>
  </si>
  <si>
    <t>Murmansk</t>
  </si>
  <si>
    <t>KFC Veshnyaky Moscow</t>
  </si>
  <si>
    <t>KFC Вешняки Москва</t>
  </si>
  <si>
    <t>111538, Россия, Москва, Вешняковская, 18</t>
  </si>
  <si>
    <t>kfc-26@akrussia.com</t>
  </si>
  <si>
    <t>KFC Maxi Smolensk</t>
  </si>
  <si>
    <t>KFC Макси Смоленск</t>
  </si>
  <si>
    <t>214019, Россия, Смоленская область, Смоленск, 25 Сентября, 35А</t>
  </si>
  <si>
    <t>kfc-23@akrussia.com</t>
  </si>
  <si>
    <t>KFC Krug Moscow</t>
  </si>
  <si>
    <t>KFC Круг Москва</t>
  </si>
  <si>
    <t>117216, Россия, Москва, Старокачаловская, 5А</t>
  </si>
  <si>
    <t>kfc-18@akrussia.com</t>
  </si>
  <si>
    <t>KFC Kirovogradsky Moscow</t>
  </si>
  <si>
    <t>KFC Кировоградский Москва</t>
  </si>
  <si>
    <t>117519, Россия, Москва, Кировоградская, 24А</t>
  </si>
  <si>
    <t>kfc-pragskygrad@ffm.rest</t>
  </si>
  <si>
    <t>Neva Perm</t>
  </si>
  <si>
    <t>Ресторан Нева Пермь</t>
  </si>
  <si>
    <t>614000, Россия, Пермский край, Пермь, Куйбышева, 31</t>
  </si>
  <si>
    <t>kfcneva@restudm.ru</t>
  </si>
  <si>
    <t>ООО "Верона"</t>
  </si>
  <si>
    <t>KFC Karla Marksa Orel</t>
  </si>
  <si>
    <t>KFC Карла Маркса Орел</t>
  </si>
  <si>
    <t>302014, Россия, Орловская область, Орел, Карла Маркса, 1/3</t>
  </si>
  <si>
    <t>kfc-orel-marksa-1222@cityrst.ru</t>
  </si>
  <si>
    <t>KFC Карла Маркса Оре</t>
  </si>
  <si>
    <t>Bars Nizhnekamsk</t>
  </si>
  <si>
    <t>Ресторан Барс Нижнекамск</t>
  </si>
  <si>
    <t>423584, Россия, Татарстан республика, Нижнекамск, Менделеева, 31А</t>
  </si>
  <si>
    <t>kfcbars@restudm.ru</t>
  </si>
  <si>
    <t>ООО "КФС Кама"</t>
  </si>
  <si>
    <t>Nizhnekamsk</t>
  </si>
  <si>
    <t>Ресторан Барс Нижнек</t>
  </si>
  <si>
    <t>Vokzal Saratov</t>
  </si>
  <si>
    <t>Ресторан Вокзал Саратов</t>
  </si>
  <si>
    <t>410012, Россия, Саратовская область, Саратов, Аткарская, 29K</t>
  </si>
  <si>
    <t>vokzal@kfc-saratov.ru</t>
  </si>
  <si>
    <t>Ресторан Вокзал Сара</t>
  </si>
  <si>
    <t>Yubileyny Saratov</t>
  </si>
  <si>
    <t>Ресторан Юбилейный Саратов</t>
  </si>
  <si>
    <t>410018, Россия, Саратовская область, Саратов, Усть-Курдюмская, 19</t>
  </si>
  <si>
    <t>yubileyny@kfc-saratov.ru</t>
  </si>
  <si>
    <t>Ресторан Юбилейный С</t>
  </si>
  <si>
    <t>Brateevsky Moscow</t>
  </si>
  <si>
    <t>Ресторан Братеевский Москва</t>
  </si>
  <si>
    <t>115612, Россия, Москва, Ключевая, 6к1</t>
  </si>
  <si>
    <t>kfc-brateevskiy-1226@cityrst.ru</t>
  </si>
  <si>
    <t>Podsolnukh Saint-Petersburg</t>
  </si>
  <si>
    <t>Ресторан Подсолнух Санкт-Петербург</t>
  </si>
  <si>
    <t>197374, Россия, Санкт-Петербург, Савушкина, 119к3</t>
  </si>
  <si>
    <t>403239@myrest.team</t>
  </si>
  <si>
    <t>KFC Titan Arena Arkhangelsk</t>
  </si>
  <si>
    <t>KFC Титан Арена Архангельск</t>
  </si>
  <si>
    <t>163046, Россия, Архангельская область, Архангельск, Воскресенская, 20</t>
  </si>
  <si>
    <t>403244@myrest.team</t>
  </si>
  <si>
    <t>Arkhangelsk</t>
  </si>
  <si>
    <t>Devyatkino Saint-Petersburg</t>
  </si>
  <si>
    <t>Ресторан Девяткино Санкт-Петербург</t>
  </si>
  <si>
    <t>188662, Россия, Ленинградская область, Всеволожский муниципальный район, сп Муринское, бульвар Менделеева, 2к2</t>
  </si>
  <si>
    <t>403238@myrest.team</t>
  </si>
  <si>
    <t>Parnas Dudina Saint-Petersburg</t>
  </si>
  <si>
    <t>Ресторан Парнас Дудина Санкт-Петербург</t>
  </si>
  <si>
    <t>194358, Россия, Санкт-Петербург, п Парголово, Михаила Дудина, 6к1</t>
  </si>
  <si>
    <t>403245@myrest.team</t>
  </si>
  <si>
    <t>Niagara Ufa</t>
  </si>
  <si>
    <t>Ресторан Ниагара Уфа</t>
  </si>
  <si>
    <t>450071, Россия, Башкортостан республика, Уфа, 50 лет СССР, 27</t>
  </si>
  <si>
    <t>kfc25@grufa.ru</t>
  </si>
  <si>
    <t>ООО "Глобал Фуд Ниагара"</t>
  </si>
  <si>
    <t>Aeropark Bryansk</t>
  </si>
  <si>
    <t>Ресторан Аэропарк Брянск</t>
  </si>
  <si>
    <t>241023, Россия, Брянская область, Брянск, Объездная, 30</t>
  </si>
  <si>
    <t>bryansk.aeropark@katubr.ru</t>
  </si>
  <si>
    <t>Bryansk</t>
  </si>
  <si>
    <t>Ресторан Аэропарк Бр</t>
  </si>
  <si>
    <t>KFC Skazka Krasnodar</t>
  </si>
  <si>
    <t>KFC Сказка Краснодар</t>
  </si>
  <si>
    <t>350051, Россия, Краснодарский край, Краснодар, шоссе Нефтяников, 42</t>
  </si>
  <si>
    <t>403248@myrest.team</t>
  </si>
  <si>
    <t>KFC Kaskad Cheboksary</t>
  </si>
  <si>
    <t>KFC Каскад Чебоксары</t>
  </si>
  <si>
    <t>428003, Россия, Чувашская Республика - Чувашия, Чебоксары, Президентский бульвар, 20</t>
  </si>
  <si>
    <t>403252@myrest.team</t>
  </si>
  <si>
    <t>Cheboksary</t>
  </si>
  <si>
    <t>KFC Nevinnomyssk Nevinnomyssk</t>
  </si>
  <si>
    <t>KFC Невинномысск Невинномысск</t>
  </si>
  <si>
    <t>357114, Россия, Ставропольский край, Невиномысск, бульвар Мира, 27В</t>
  </si>
  <si>
    <t>kfc.nevinnomyssk@yummy.rest</t>
  </si>
  <si>
    <t>Nevinnomyssk</t>
  </si>
  <si>
    <t>KFC Duburlan Makhachkala</t>
  </si>
  <si>
    <t>KFC Дубурлан Махачкала</t>
  </si>
  <si>
    <t>367000, Россия, Дагестан республика, Махачкала, проспект Петра I, 100</t>
  </si>
  <si>
    <t>kfc.duburlan@yummy-group.ru</t>
  </si>
  <si>
    <t>KFC Bataysk Bataysk</t>
  </si>
  <si>
    <t>KFC Батайск Батайск</t>
  </si>
  <si>
    <t>346885, Россия, Ростовская область, Батайск, Огородная, 74А</t>
  </si>
  <si>
    <t>kfc.bataysk@yummy-group.ru</t>
  </si>
  <si>
    <t>Bataysk</t>
  </si>
  <si>
    <t>Vitte Mall Moscow</t>
  </si>
  <si>
    <t>Ресторан Витте Молл Москва</t>
  </si>
  <si>
    <t>117042, Россия, Москва, Венёвская, 6</t>
  </si>
  <si>
    <t>kfc-vittemoll-1229@cityrst.ru</t>
  </si>
  <si>
    <t>Dmitriya Donskogo Moscow</t>
  </si>
  <si>
    <t>Ресторан Дмитрия Донского Москва</t>
  </si>
  <si>
    <t>117628, Россия, Москва, бульвар Дмитрия Донского, 2к1</t>
  </si>
  <si>
    <t>kfc-severnoebutovo-1228@cityrst.ru</t>
  </si>
  <si>
    <t>KFC Stancionnaya Novosibirsk</t>
  </si>
  <si>
    <t>KFC Станционная Новосибирск</t>
  </si>
  <si>
    <t>630108, Россия, Новосибирская область, Новосибирск, Станционная, 32а</t>
  </si>
  <si>
    <t>KFC0458@irb.rest</t>
  </si>
  <si>
    <t>Novosibirsk</t>
  </si>
  <si>
    <t>Сибирь</t>
  </si>
  <si>
    <t>KFC Yarmarka Astrakhan</t>
  </si>
  <si>
    <t>KFC Ярмарка Астрахань</t>
  </si>
  <si>
    <t>414040, Россия, Астраханская область, Астрахань, Вокзальная пл., 13А</t>
  </si>
  <si>
    <t>kfc-36@akrussia.com</t>
  </si>
  <si>
    <t>Astrakhan</t>
  </si>
  <si>
    <t>KFC M5 Mall Ryazan</t>
  </si>
  <si>
    <t>KFC М5 молл Рязань</t>
  </si>
  <si>
    <t>390044, Россия, Рязанская область, Рязань, Московское шоссе, 65А</t>
  </si>
  <si>
    <t>kfc-35@akrussia.com</t>
  </si>
  <si>
    <t>Ermak Chaykovsky</t>
  </si>
  <si>
    <t>Ресторан Ермак Чайковский</t>
  </si>
  <si>
    <t>617764, Россия, Пермский край, Чайковский, Ленина, 61Ауч1</t>
  </si>
  <si>
    <t>kfcermak@restudm.ru</t>
  </si>
  <si>
    <t>Chaykovsky</t>
  </si>
  <si>
    <t>Ресторан Ермак Чайко</t>
  </si>
  <si>
    <t>KFC Plescheevo Moscow</t>
  </si>
  <si>
    <t>KFC Плещеево Москва</t>
  </si>
  <si>
    <t>127560, Россия, Москва, Плещеева, 4</t>
  </si>
  <si>
    <t>bibirevo@qsr-pro.com</t>
  </si>
  <si>
    <t>ООО "КФС-Бибирево"</t>
  </si>
  <si>
    <t>Bogatyrsky Saint-Petersburg</t>
  </si>
  <si>
    <t>Ресторан Богатырский Санкт-Петербург</t>
  </si>
  <si>
    <t>197082, Россия, Санкт-Петербург, Богатырский проспект, 54/32</t>
  </si>
  <si>
    <t>403253@myrest.team</t>
  </si>
  <si>
    <t>Tiara Moscow</t>
  </si>
  <si>
    <t>Ресторан Тиара Москва</t>
  </si>
  <si>
    <t>119607, Россия, Москва, Мичуринский проспект, вл27</t>
  </si>
  <si>
    <t>kfctiara@gmail.com</t>
  </si>
  <si>
    <t>ООО "Перспектива"</t>
  </si>
  <si>
    <t>Ресторан Тиара Москв</t>
  </si>
  <si>
    <t>Mozhayskoe Moscow</t>
  </si>
  <si>
    <t>Ресторан Можайское Москва</t>
  </si>
  <si>
    <t>121353, Россия, Москва, Можайское шоссе, 45А</t>
  </si>
  <si>
    <t>kfcmozhajka@gmail.com</t>
  </si>
  <si>
    <t>Ресторан Можайское М</t>
  </si>
  <si>
    <t>Rostro Kingisepp</t>
  </si>
  <si>
    <t>Ресторан Ростро Кингисепп</t>
  </si>
  <si>
    <t>188480, Россия, Ленинградская область, Кингисепп, Октябрьская, 9</t>
  </si>
  <si>
    <t>403251@myrest.team</t>
  </si>
  <si>
    <t>Kingisepp</t>
  </si>
  <si>
    <t>KFC Montazhniki Krasnodar</t>
  </si>
  <si>
    <t>KFC Монтажники Краснодар</t>
  </si>
  <si>
    <t>350051, Россия, Краснодарский край, Краснодар, Монтажников, 1</t>
  </si>
  <si>
    <t>403294@myrest.team</t>
  </si>
  <si>
    <t>KFC Maxi Severodvinsk</t>
  </si>
  <si>
    <t>KFC Макси Северодвинск</t>
  </si>
  <si>
    <t>164512, Россия, Архангельская область, Северодвинск, Архангельское шоссе, 120</t>
  </si>
  <si>
    <t>403247@myrest.team</t>
  </si>
  <si>
    <t>Severodvinsk</t>
  </si>
  <si>
    <t>KFC Pokryshkina Krasnodar</t>
  </si>
  <si>
    <t>KFC Покрышкина Краснодар</t>
  </si>
  <si>
    <t>350005, Россия, Краснодарский край, Краснодар, Александра Покрышкина, 3</t>
  </si>
  <si>
    <t>403250@myrest.team</t>
  </si>
  <si>
    <t>KFC Biryulevsky Moscow</t>
  </si>
  <si>
    <t>KFC Бирюлевский Москва</t>
  </si>
  <si>
    <t>115404, Россия, Москва, Бирюлевская ул., 26А</t>
  </si>
  <si>
    <t>kfc-birulevskaya@ffm.rest</t>
  </si>
  <si>
    <t>Kronshtadtsky Moscow</t>
  </si>
  <si>
    <t>Ресторан Кронштадтский Москва</t>
  </si>
  <si>
    <t>125212, Россия, Москва, Кронштадтский бул., 3А</t>
  </si>
  <si>
    <t>vodny@gfgroup.ru</t>
  </si>
  <si>
    <t>ООО "ГФГ Водный"</t>
  </si>
  <si>
    <t>Ресторан Кронштадтск</t>
  </si>
  <si>
    <t>Komsomolsky Perm</t>
  </si>
  <si>
    <t>Ресторан Комсомольский Пермь</t>
  </si>
  <si>
    <t>614000, Россия, Пермский край, Пермь, Комсомольский проспект, 15В</t>
  </si>
  <si>
    <t>kfckp@restudm.ru</t>
  </si>
  <si>
    <t>Ресторан Комсомольск</t>
  </si>
  <si>
    <t>Laplandia Kemerovo</t>
  </si>
  <si>
    <t>Ресторан Лапландия Кемерово</t>
  </si>
  <si>
    <t>650066, Россия, Кемеровская область, Кемерово, Октябрьский проспект, 34</t>
  </si>
  <si>
    <t>kfc_laplandia_kemerovo@kfc42.ru</t>
  </si>
  <si>
    <t>Ресторан Лапландия К</t>
  </si>
  <si>
    <t>KFC Mandarin Krasnodar</t>
  </si>
  <si>
    <t>KFC Мандарин Краснодар</t>
  </si>
  <si>
    <t>350087, Россия, Краснодарский край, Краснодар, Петра Метальникова, 3</t>
  </si>
  <si>
    <t>403296@myrest.team</t>
  </si>
  <si>
    <t>Ya Kemerovo</t>
  </si>
  <si>
    <t>Ресторан Я Кемерово</t>
  </si>
  <si>
    <t>650000, Россия, Кемеровская область, Кемерово, Кузнецкий проспект, 33 Б</t>
  </si>
  <si>
    <t>kfc_ya_kemerovo@kfc42.ru</t>
  </si>
  <si>
    <t>Orekhovy bulvar Moscow</t>
  </si>
  <si>
    <t>Ресторан Ореховый бульвар Москва</t>
  </si>
  <si>
    <t>115573, Россия, Москва, Ореховый бульвар, 45 к1</t>
  </si>
  <si>
    <t>kfc-orekhovyi@cityrst.ru</t>
  </si>
  <si>
    <t>Gorbushka Moscow</t>
  </si>
  <si>
    <t>Ресторан Горбушка Москва</t>
  </si>
  <si>
    <t>121309, Россия, Москва, Багратионовский проспект, 7 к2</t>
  </si>
  <si>
    <t>kfc-gorbushkin-dvor@cityrst.ru</t>
  </si>
  <si>
    <t>KFC Koledino Moscow</t>
  </si>
  <si>
    <t>KFC Коледино Москва</t>
  </si>
  <si>
    <t>142103, Россия, Московская область, Подольск, автодорога М2 Крым, км 41-ый, д. 1, стр. 3г</t>
  </si>
  <si>
    <t>KFC0439@irb.rest</t>
  </si>
  <si>
    <t>KFC Avtovokzal Oryol</t>
  </si>
  <si>
    <t>KFC Автовокзал Орел</t>
  </si>
  <si>
    <t>302043, Россия, Орловская область, Орел, Автовокзальная, 3</t>
  </si>
  <si>
    <t>kfc-orel-avtovokzal-1249@cityrst.ru</t>
  </si>
  <si>
    <t>KFC B. Khmelnitskogo Belgorod</t>
  </si>
  <si>
    <t>KFC Б. Хмельницкого Белгород</t>
  </si>
  <si>
    <t>308009, Россия, Белгородская область, Белгород, проспект Богдана Хмельницкого, 18 А</t>
  </si>
  <si>
    <t>kfc-khmelnitskogo@cityrst.ru</t>
  </si>
  <si>
    <t>KFC Radishevskaya Moscow</t>
  </si>
  <si>
    <t>KFC Радищевская Москва</t>
  </si>
  <si>
    <t>109240, Россия, Москва, В. Радищевская, 22</t>
  </si>
  <si>
    <t>kfc-radishchevskaya-1235@cityrst.ru</t>
  </si>
  <si>
    <t>Pobedy Kaliningrad</t>
  </si>
  <si>
    <t>Ресторан Победы Калининград</t>
  </si>
  <si>
    <t>236006, Россия, Калининградская область, Калининград, Площадь Победы, 4</t>
  </si>
  <si>
    <t>kfc-kaliningrad-pobedi-1253@cityrst.ru</t>
  </si>
  <si>
    <t>Kaliningrad</t>
  </si>
  <si>
    <t>Ресторан Победы Кали</t>
  </si>
  <si>
    <t>RIO Leninskiy Moscow</t>
  </si>
  <si>
    <t>Ресторан РИО Ленинский Москва</t>
  </si>
  <si>
    <t>119421, Россия, Москва, Ленинский проспект, 109</t>
  </si>
  <si>
    <t>kfc-rio-leninskiy-1236@cityrst.ru</t>
  </si>
  <si>
    <t>KFC Aquamall Ulyanovsk</t>
  </si>
  <si>
    <t>KFC Аквамолл Ульяновск</t>
  </si>
  <si>
    <t>432005, Россия, Ульяновская область, Ульяновск, Московское шоссе, 108</t>
  </si>
  <si>
    <t>kfc-akvamoll@cityrst.ru</t>
  </si>
  <si>
    <t>Ulyanovsk</t>
  </si>
  <si>
    <t>KFC Аквамолл Ульянов</t>
  </si>
  <si>
    <t>KFC Optimus Ulyanovsk</t>
  </si>
  <si>
    <t>KFC Оптимус Ульяновск</t>
  </si>
  <si>
    <t>432072, Россия, Ульяновская область, Ульяновск, Ульяновский проспект, 16</t>
  </si>
  <si>
    <t>kfc-optimus@cityrst.ru</t>
  </si>
  <si>
    <t>KFC Оптимус Ульяновс</t>
  </si>
  <si>
    <t>Khodinskiy Moscow</t>
  </si>
  <si>
    <t>Ресторан Ходынский Москва</t>
  </si>
  <si>
    <t>125167, Россия, Москва, Ходынский бульвар, 2</t>
  </si>
  <si>
    <t>kfc-khodinka-1237@cityrst.ru</t>
  </si>
  <si>
    <t>KFC Kalina mall Vladivostok</t>
  </si>
  <si>
    <t>KFC Калина молл Владивосток</t>
  </si>
  <si>
    <t>690077, Россия, Приморский край, Владивосток, Калинина, 8</t>
  </si>
  <si>
    <t>kfc.kalina@goodfood-dv.ru</t>
  </si>
  <si>
    <t>KFC Калина молл Влад</t>
  </si>
  <si>
    <t>KFC Detstvo Khabarovsk</t>
  </si>
  <si>
    <t>KFC Детство Хабаровск</t>
  </si>
  <si>
    <t>680013, Россия, Хабаровский край, Хабаровск, Рабочий Городок, 1Б</t>
  </si>
  <si>
    <t>kfc.detstvo@goodfood-dv.ru</t>
  </si>
  <si>
    <t>KFC Детство Хабаровс</t>
  </si>
  <si>
    <t>KFC Alimpic Astrakhan</t>
  </si>
  <si>
    <t>KFC Алимпик Астрахань</t>
  </si>
  <si>
    <t>414024, Россия, Астраханская область, Астрахань, Боевая, 25А</t>
  </si>
  <si>
    <t>kfc-38@akrussia.com</t>
  </si>
  <si>
    <t>KFC RIO Kostroma</t>
  </si>
  <si>
    <t>KFC РИО Кострома</t>
  </si>
  <si>
    <t>156010, Россия, Костромская область, Кострома, Магистральная, 20</t>
  </si>
  <si>
    <t>kfc-28@akrussia.com</t>
  </si>
  <si>
    <t>Kostroma</t>
  </si>
  <si>
    <t>KFC Yagodnoe Kazan</t>
  </si>
  <si>
    <t>KFC Ягодное Казань</t>
  </si>
  <si>
    <t>420032, Россия, Татарстан республика, Казань, Краснококшайская, 140Б</t>
  </si>
  <si>
    <t>403210@myrest.team</t>
  </si>
  <si>
    <t>KFC Dinamo Moscow</t>
  </si>
  <si>
    <t>KFC Динамо Москва</t>
  </si>
  <si>
    <t>125167, Россия, Москва, Ленинградский проспект, вл36</t>
  </si>
  <si>
    <t>kfc-dynamo@qsr-pro.com</t>
  </si>
  <si>
    <t>ООО "КФС-Динамо"</t>
  </si>
  <si>
    <t>Okkervil Saint-Petersburg</t>
  </si>
  <si>
    <t>Ресторан Оккервиль Санкт-Петербург</t>
  </si>
  <si>
    <t>193312, Россия, Ленинградская область, Кудрово, Ленинградская, 5</t>
  </si>
  <si>
    <t>403262@myrest.team</t>
  </si>
  <si>
    <t>KFC Okey Bolshevikov Saint-Petersburg</t>
  </si>
  <si>
    <t>KFC Окей Большевиков Санкт-Петербург</t>
  </si>
  <si>
    <t>197022, Россия, Санкт-Петербург, проспект Большевиков, 10к1А</t>
  </si>
  <si>
    <t>403259@myrest.team</t>
  </si>
  <si>
    <t>Yuzhny Saint-Petersburg</t>
  </si>
  <si>
    <t>Ресторан Южный Санкт-Петербург</t>
  </si>
  <si>
    <t>188680, Россия, Ленинградская область, Всеволожский район, сп Колтушское, д Кальтино, Колтушское шоссе, 1А</t>
  </si>
  <si>
    <t>403246@myrest.team</t>
  </si>
  <si>
    <t>Vsevolojsk</t>
  </si>
  <si>
    <t>Narvskaya Saint-Petersburg</t>
  </si>
  <si>
    <t>Ресторан Нарвская Санкт-Петербург</t>
  </si>
  <si>
    <t>190020, Россия, Санкт-Петербург, Старо-Петергофский проспект, 43-45 литера Б,В</t>
  </si>
  <si>
    <t>403249@myrest.team</t>
  </si>
  <si>
    <t>Avtovo Saint-Petersburg</t>
  </si>
  <si>
    <t>Ресторан Автово Санкт-Петербург</t>
  </si>
  <si>
    <t>198096, Россия, Санкт-Петербург, проспект Стачек, 90А</t>
  </si>
  <si>
    <t>403260@myrest.team</t>
  </si>
  <si>
    <t>KFC Minina Nizhny Novgorod</t>
  </si>
  <si>
    <t>KFC Минина Нижний Новгород</t>
  </si>
  <si>
    <t>603005, Россия, Нижегородская область, Нижний Новгород, площадь Минина и Пожарского, 11</t>
  </si>
  <si>
    <t>403261@myrest.team</t>
  </si>
  <si>
    <t>KFC Okey Minskaya Krasnodar</t>
  </si>
  <si>
    <t>KFC Окей Минская Краснодар</t>
  </si>
  <si>
    <t>350004, Россия, Краснодарский край, Краснодар, Минская, 120/8А</t>
  </si>
  <si>
    <t>403266@myrest.team</t>
  </si>
  <si>
    <t>KFC Korenovsk Korenovsk</t>
  </si>
  <si>
    <t>KFC Кореновск Кореновск</t>
  </si>
  <si>
    <t>353180, Россия, Краснодарский край, Кореновск, Красная, 122</t>
  </si>
  <si>
    <t>403265@myrest.team</t>
  </si>
  <si>
    <t>Korenovsk</t>
  </si>
  <si>
    <t>KFC Okey Machugi Krasnodar</t>
  </si>
  <si>
    <t>KFC Окей Мачуги Краснодар</t>
  </si>
  <si>
    <t>350061, Россия, Краснодарский край, Краснодар, Мачуги В.Н, 2</t>
  </si>
  <si>
    <t>403264@myrest.team</t>
  </si>
  <si>
    <t>Pobeda Kaluga</t>
  </si>
  <si>
    <t>Ресторан Победа Калуга</t>
  </si>
  <si>
    <t>248023, Россия, Калужская область, Калуга, М. Жукова, 2</t>
  </si>
  <si>
    <t>kfc.kaluga.pobeda@gmail.com</t>
  </si>
  <si>
    <t>ООО "Турстрой"</t>
  </si>
  <si>
    <t>Ресторан Победа Калу</t>
  </si>
  <si>
    <t>KFC Silver Irkutsk</t>
  </si>
  <si>
    <t>KFC Сильвер Иркутск</t>
  </si>
  <si>
    <t>664043, Россия, Иркутская область, Иркутск, Сергеева, 3</t>
  </si>
  <si>
    <t>IRSilver@multi-menu.com</t>
  </si>
  <si>
    <t>ООО "Байкал Ресторантс Групп"</t>
  </si>
  <si>
    <t>Irkutsk</t>
  </si>
  <si>
    <t>Стандарт+15%</t>
  </si>
  <si>
    <t>KFC Modniy Irkutsk</t>
  </si>
  <si>
    <t>KFC Модный Иркутск</t>
  </si>
  <si>
    <t>664022, Россия, Иркутская область, Иркутск, 3 Июля, 25</t>
  </si>
  <si>
    <t>IRModniy@multi-menu.com</t>
  </si>
  <si>
    <t>KFC Komsomall Irkutsk</t>
  </si>
  <si>
    <t>KFC КомсоМолл Иркутск</t>
  </si>
  <si>
    <t>664022, Россия, Иркутская область, Иркутск, Верхняя набережная, 10</t>
  </si>
  <si>
    <t>IRKomsomall@multi-menu.com</t>
  </si>
  <si>
    <t>KFC Fortuna Irkutsk</t>
  </si>
  <si>
    <t>KFC Фортуна Иркутск</t>
  </si>
  <si>
    <t>664007, Россия, Иркутская область, Иркутск, ул. Франк-Каменецкого, строение 7</t>
  </si>
  <si>
    <t>IRFortuna@multi-menu.com</t>
  </si>
  <si>
    <t>ООО "Альфа Ресторантс"</t>
  </si>
  <si>
    <t>KFC Festival Angarsk</t>
  </si>
  <si>
    <t>KFC Фестиваль Ангарск</t>
  </si>
  <si>
    <t>665824, Россия, Иркутская область, Ангарск, 192-квартал, 12</t>
  </si>
  <si>
    <t>IRFestival@multi-menu.com</t>
  </si>
  <si>
    <t>Angarsk</t>
  </si>
  <si>
    <t>KFC Karamel Irkutsk</t>
  </si>
  <si>
    <t>KFC Карамель Иркутск</t>
  </si>
  <si>
    <t>664007, Россия, Иркутская область, Иркутск, Партизанская, 36</t>
  </si>
  <si>
    <t>IRKaramel@multi-menu.com</t>
  </si>
  <si>
    <t>KFC Uritskogo Irkutsk</t>
  </si>
  <si>
    <t>KFC Урицкого Иркутск</t>
  </si>
  <si>
    <t>664003, Россия, Иркутская область, Иркутск, Урицкого, 5</t>
  </si>
  <si>
    <t>IRUritskogo@multi-menu.com</t>
  </si>
  <si>
    <t>KFC Traktovaya Irkutsk</t>
  </si>
  <si>
    <t>KFC Трактовая Иркутск</t>
  </si>
  <si>
    <t>664020, Россия, Иркутская область, Иркутск, Трактовая, 5б/1</t>
  </si>
  <si>
    <t>IRTraktovaya@multi-menu.com</t>
  </si>
  <si>
    <t>KFC Noviy Irkutsk</t>
  </si>
  <si>
    <t>KFC Новый Иркутск</t>
  </si>
  <si>
    <t>664047, Россия, Иркутская область, Иркутск, Советская, 58/1</t>
  </si>
  <si>
    <t>IRNoviy@multi-menu.com</t>
  </si>
  <si>
    <t>KFC Jubileynyi Irkutsk</t>
  </si>
  <si>
    <t>KFC Юбилейный Иркутск</t>
  </si>
  <si>
    <t>664049, Россия, Иркутская область, Иркутск, микрорайон Юбилейный, 19/1</t>
  </si>
  <si>
    <t>IRUbileyniy@multi-menu.com</t>
  </si>
  <si>
    <t>KFC Snegir Irkutsk</t>
  </si>
  <si>
    <t>KFC Снегирь Иркутск</t>
  </si>
  <si>
    <t>664082, Россия, Иркутская область, Иркутск, Улан-Баторская, 16</t>
  </si>
  <si>
    <t>IRSnegir@multi-menu.com</t>
  </si>
  <si>
    <t>KFC Mega Blagoveshchensk</t>
  </si>
  <si>
    <t>KFC Мега Благовещенск</t>
  </si>
  <si>
    <t>675000, Россия, Амурская область, Благовещенск, ул. 50 лет Октября, 61</t>
  </si>
  <si>
    <t>KFC.MEGA@goodfood-dv.ru</t>
  </si>
  <si>
    <t>Blagoveshchensk</t>
  </si>
  <si>
    <t>KFC Мега Благовещенс</t>
  </si>
  <si>
    <t>KFC Komissarova Vladimir</t>
  </si>
  <si>
    <t>KFC Комиссарова Владимир</t>
  </si>
  <si>
    <t>600027, Россия, Владимирская область, Владимир, Комиссарова, 30</t>
  </si>
  <si>
    <t>kfc-37@akrussia.com</t>
  </si>
  <si>
    <t>Alatyr Ekaterinburg</t>
  </si>
  <si>
    <t>Ресторан Алатырь Екатеринбург</t>
  </si>
  <si>
    <t>620014, Россия, Свердловская область, Екатеринбург, Малышева, 5</t>
  </si>
  <si>
    <t>KFC0453@irb.rest</t>
  </si>
  <si>
    <t>Ekaterinburg</t>
  </si>
  <si>
    <t>Ресторан Алатырь Ека</t>
  </si>
  <si>
    <t>KFC Ostrovtsy Moscow</t>
  </si>
  <si>
    <t>KFC Островцы Москва</t>
  </si>
  <si>
    <t>140125, Россия, Московская область, д Островцы, деревня Островцы , улица
 Молодежная, строение 52</t>
  </si>
  <si>
    <t>KFC0456@irb.rest</t>
  </si>
  <si>
    <t>Ostrovtsy</t>
  </si>
  <si>
    <t>KFC 10 August Ivanovo</t>
  </si>
  <si>
    <t>KFC 10 августа Иваново</t>
  </si>
  <si>
    <t>153012, Россия, Ивановская область, Иваново, 10 Августа, 29</t>
  </si>
  <si>
    <t>kfc-39@akrussia.com</t>
  </si>
  <si>
    <t>KFC Istra Moscow</t>
  </si>
  <si>
    <t>KFC Истра Москва</t>
  </si>
  <si>
    <t>143500, Россия, Московская область, Истра, Щеголева, 1</t>
  </si>
  <si>
    <t>KFC0002@irb.rest</t>
  </si>
  <si>
    <t>Istra</t>
  </si>
  <si>
    <t>Retail park Penza</t>
  </si>
  <si>
    <t>Ресторан Ритейл парк Пенза</t>
  </si>
  <si>
    <t>440068, Россия, Пензенская область, Пенза, Центральная, 1</t>
  </si>
  <si>
    <t>retailpark@n-vkus.ru</t>
  </si>
  <si>
    <t>Ресторан Ритейл парк</t>
  </si>
  <si>
    <t>KFC Klimentovsky Moscow</t>
  </si>
  <si>
    <t>KFC Климентовский Москва</t>
  </si>
  <si>
    <t>115035, Россия, Москва, Климентовский переулок, 10</t>
  </si>
  <si>
    <t>kfc-44@akrussia.com</t>
  </si>
  <si>
    <t>KFC Gamzatova Makhachkala</t>
  </si>
  <si>
    <t>KFC Гамзатова Махачкала</t>
  </si>
  <si>
    <t>367000, Россия, Дагестан республика, Махачкала, Гамзатова, 91</t>
  </si>
  <si>
    <t>kfc.gamzatova@yummy-group.ru</t>
  </si>
  <si>
    <t>KFC Kazanskiy 3 Moscow</t>
  </si>
  <si>
    <t>KFC Казанский 3 Москва</t>
  </si>
  <si>
    <t>kfc-kazanskiy3-1243@cityrst.ru</t>
  </si>
  <si>
    <t>KFC Казанский 3 Моск</t>
  </si>
  <si>
    <t>Ledovyi Izhevsk</t>
  </si>
  <si>
    <t>Ресторан Ледовый Ижевск</t>
  </si>
  <si>
    <t>426000, Россия, Удмуртская республика, Ижевск, Удмуртская, 222В</t>
  </si>
  <si>
    <t>kfcled@restudm.ru</t>
  </si>
  <si>
    <t>Ресторан Ледовый Иже</t>
  </si>
  <si>
    <t>Matrix Izhevsk</t>
  </si>
  <si>
    <t>Ресторан Матрица Ижевск</t>
  </si>
  <si>
    <t>426000, Россия, Удмуртская республика, Ижевск, Баранова, 87</t>
  </si>
  <si>
    <t>kfcmatrica@restudm.ru</t>
  </si>
  <si>
    <t>Ресторан Матрица Иже</t>
  </si>
  <si>
    <t>KFC Flagman Blagoveshchensk</t>
  </si>
  <si>
    <t>KFC Флагман Благовещенск</t>
  </si>
  <si>
    <t>680014, Россия, Амурская область, Благовещенск, Тенистая, 156</t>
  </si>
  <si>
    <t>KFC.FLAGMAN@goodfood-dv.ru</t>
  </si>
  <si>
    <t>KFC Флагман Благовещ</t>
  </si>
  <si>
    <t>KFC Sakha Expo Yakutsk</t>
  </si>
  <si>
    <t>KFC Саха Экспо Якутск</t>
  </si>
  <si>
    <t>677018, Россия, Саха /Якутия республика, Якутск, Ярославского, 12/1</t>
  </si>
  <si>
    <t>YKTSakha@multi-menu.com</t>
  </si>
  <si>
    <t>Перспектива Саха, ООО</t>
  </si>
  <si>
    <t>Yakutsk</t>
  </si>
  <si>
    <t>Стандарт+30%</t>
  </si>
  <si>
    <t>Veer Mall Ekaterinburg</t>
  </si>
  <si>
    <t>Ресторан Веер Молл Екатеринбург</t>
  </si>
  <si>
    <t>620058, Россия, Свердловская область, Екатеринбург, просп. Космонавтов, д. 108</t>
  </si>
  <si>
    <t>KFC0447@irb.rest</t>
  </si>
  <si>
    <t>Ресторан Веер Молл Е</t>
  </si>
  <si>
    <t>Rasskazovka Moscow</t>
  </si>
  <si>
    <t>Ресторан Рассказовка Москва</t>
  </si>
  <si>
    <t>108811, Россия, Москва, п Внуковское, д Рассказовка, тер. ТПУ «Рассказовка», з/у 13/1А</t>
  </si>
  <si>
    <t>KFC0004@irb.rest</t>
  </si>
  <si>
    <t>KFC Kropotkin Kropotkin</t>
  </si>
  <si>
    <t>KFC Кропоткин Кропоткин</t>
  </si>
  <si>
    <t>352389, Россия, Краснодарский край, Кропоткин, Красная, 72/7</t>
  </si>
  <si>
    <t>403255@myrest.team</t>
  </si>
  <si>
    <t>Kropotkin</t>
  </si>
  <si>
    <t>Kopylova Krasnoyarsk</t>
  </si>
  <si>
    <t>Ресторан Копылова Красноярск</t>
  </si>
  <si>
    <t>660001, Россия, Красноярский край, Красноярск, ул. Красной Армии, 107</t>
  </si>
  <si>
    <t>KFC0449@irb.rest</t>
  </si>
  <si>
    <t>Krasnoyarsk</t>
  </si>
  <si>
    <t>Ресторан Копылова Кр</t>
  </si>
  <si>
    <t>Sverdlova Ekaterinburg</t>
  </si>
  <si>
    <t>Ресторан Свердлова Екатеринбург</t>
  </si>
  <si>
    <t>620027, Россия, Свердловская область, Екатеринбург, Свердлова, 66</t>
  </si>
  <si>
    <t>KFC0448@irb.rest</t>
  </si>
  <si>
    <t>Ресторан Свердлова Е</t>
  </si>
  <si>
    <t>Favory Moscow</t>
  </si>
  <si>
    <t>Ресторан Фэвори Москва</t>
  </si>
  <si>
    <t>109316, Россия, Москва, Волгоградский проспект, 32к1</t>
  </si>
  <si>
    <t>kfc-favorit-1234@cityrst.ru</t>
  </si>
  <si>
    <t>KFC TSUM Smolensk</t>
  </si>
  <si>
    <t>KFC ЦУМ Смоленск</t>
  </si>
  <si>
    <t>214018, Россия, Смоленская область, Смоленск, ул. Октябрьской Революции, 17</t>
  </si>
  <si>
    <t>kfc-45@akrussia.com</t>
  </si>
  <si>
    <t>Collage Penza</t>
  </si>
  <si>
    <t>Ресторан Коллаж Пенза</t>
  </si>
  <si>
    <t>440066, Россия, Пензенская область, Пенза, пр-т Строителей, 1в</t>
  </si>
  <si>
    <t>collage@n-vkus.ru</t>
  </si>
  <si>
    <t>Ресторан Коллаж Пенз</t>
  </si>
  <si>
    <t>Ostrov Izhevsk</t>
  </si>
  <si>
    <t>Ресторан Остров Ижевск</t>
  </si>
  <si>
    <t>426003, Россия, Удмуртская республика, Ижевск, ул.Карла-Либкнехта, 10</t>
  </si>
  <si>
    <t>kfcostrov@restudm.ru</t>
  </si>
  <si>
    <t>Ресторан Остров Ижев</t>
  </si>
  <si>
    <t>Green Plaza Perm</t>
  </si>
  <si>
    <t>Ресторан Грин плаза Пермь</t>
  </si>
  <si>
    <t>614010, Россия, Пермский край, Пермь, Куйбышева, 95б</t>
  </si>
  <si>
    <t>kfcplaza@restudm.ru</t>
  </si>
  <si>
    <t>Ресторан Грин плаза</t>
  </si>
  <si>
    <t>KFC Collage Kostroma</t>
  </si>
  <si>
    <t>KFC Коллаж Кострома</t>
  </si>
  <si>
    <t>156530, Россия, Костромская область, Кострома, Красносельское шоссе, 1</t>
  </si>
  <si>
    <t>kfc-27@akrussia.com</t>
  </si>
  <si>
    <t>Moskovsky Bryansk</t>
  </si>
  <si>
    <t>Ресторан Московский Брянск</t>
  </si>
  <si>
    <t>241035, Россия, Брянская область, Брянск, Московский микрорайон, 45а</t>
  </si>
  <si>
    <t>bryansk.moskovsky@katubr.ru</t>
  </si>
  <si>
    <t>ООО "Фудпарк"</t>
  </si>
  <si>
    <t>Ресторан Московский</t>
  </si>
  <si>
    <t>KFC Avtozavodets Nizhny Novgorod</t>
  </si>
  <si>
    <t>KFC Автозаводец Нижний Новгород</t>
  </si>
  <si>
    <t>603004, Россия, Нижегородская область, Нижний Новгород, проспект Ленина, 108</t>
  </si>
  <si>
    <t>403267@myrest.team</t>
  </si>
  <si>
    <t>KFC Lenta Adoratskogo Kazan</t>
  </si>
  <si>
    <t>KFC Лента Адоратского Казань</t>
  </si>
  <si>
    <t>420126, Россия, Татарстан республика, Казань, Адоратского, 21а к2</t>
  </si>
  <si>
    <t>403254@myrest.team</t>
  </si>
  <si>
    <t>Vyborg Vyborg</t>
  </si>
  <si>
    <t>Ресторан Выборг Выборг</t>
  </si>
  <si>
    <t>188800, Россия, Ленинградская область, Выборг, Железнодорожная, 7</t>
  </si>
  <si>
    <t>403303@myrest.team</t>
  </si>
  <si>
    <t>Vyborg</t>
  </si>
  <si>
    <t>KFC Sovetskaya Maykop</t>
  </si>
  <si>
    <t>KFC Советская Майкоп</t>
  </si>
  <si>
    <t>385000, Россия, Адыгея республика, Майкоп, Советская, 201/19</t>
  </si>
  <si>
    <t>403270@myrest.team</t>
  </si>
  <si>
    <t>Maykop</t>
  </si>
  <si>
    <t>KFC Ordzhonikidze Moscow</t>
  </si>
  <si>
    <t>KFC Орджоникидзе Москва</t>
  </si>
  <si>
    <t>115419, Россия, Москва, Орджоникидзе, дом 11, стр. 1А</t>
  </si>
  <si>
    <t>kfc-ordzhonikidze@ffm.rest</t>
  </si>
  <si>
    <t>KFC Moskovsky prospekt Arkhangelsk</t>
  </si>
  <si>
    <t>KFC Московский проспект Архангельск</t>
  </si>
  <si>
    <t>163002, Россия, Архангельская область, Архангельск, проспект Московский, 46</t>
  </si>
  <si>
    <t>403269@myrest.team</t>
  </si>
  <si>
    <t>KFC Vodoley Moscow</t>
  </si>
  <si>
    <t>KFC Водолей Москва</t>
  </si>
  <si>
    <t>115563, Россия, Москва, Ореховый бульвар, 15с1</t>
  </si>
  <si>
    <t>kfc-vodoley@qsr-pro.com</t>
  </si>
  <si>
    <t>ООО "КФС-Водолей"</t>
  </si>
  <si>
    <t>KFC Dubininskaya Moscow</t>
  </si>
  <si>
    <t>KFC Дубининская Москва</t>
  </si>
  <si>
    <t>115054, Россия, Москва, Дубининская улица, 35</t>
  </si>
  <si>
    <t>kfc8@ffm.rest</t>
  </si>
  <si>
    <t>Maerchaka Krasnoyarsk</t>
  </si>
  <si>
    <t>Ресторан Маерчака Красноярск</t>
  </si>
  <si>
    <t>660075, Россия, Красноярский край, Красноярск, Маерчака, 22</t>
  </si>
  <si>
    <t>KFC0461@irb.rest</t>
  </si>
  <si>
    <t>Ресторан Маерчака Кр</t>
  </si>
  <si>
    <t>KFC Yarmarka Ukhta</t>
  </si>
  <si>
    <t>KFC Ярмарка Ухта</t>
  </si>
  <si>
    <t>169300, Россия, Коми республика, Ухта, Заводская, д. 3 стр. 1</t>
  </si>
  <si>
    <t>kfc-yarmarka-1248@cityrst.ru</t>
  </si>
  <si>
    <t>Ukhta</t>
  </si>
  <si>
    <t>KFC Parma Syktyvkar</t>
  </si>
  <si>
    <t>KFC Парма Сыктывкар</t>
  </si>
  <si>
    <t>167023, Россия, Коми республика, Сыктывкар, ул. Коммунистическая, 50</t>
  </si>
  <si>
    <t>kfc-parma-1247@cityrst.ru</t>
  </si>
  <si>
    <t>Syktyvkar</t>
  </si>
  <si>
    <t>Tarhova Saratov</t>
  </si>
  <si>
    <t>Ресторан Тархова Саратов</t>
  </si>
  <si>
    <t>410035, Россия, Саратовская область, Саратов, Тархова, 29а</t>
  </si>
  <si>
    <t>Tarhova@kfc-saratov.ru</t>
  </si>
  <si>
    <t>Ресторан Тархова Сар</t>
  </si>
  <si>
    <t>KFC Gagarina Orenburg</t>
  </si>
  <si>
    <t>KFC Гагарина Оренбург</t>
  </si>
  <si>
    <t>460051, Россия, Оренбургская область, Оренбург, проспект Гагарина, 48/3</t>
  </si>
  <si>
    <t>kfc28@grufa.ru</t>
  </si>
  <si>
    <t>ООО "Глобал Фуд Гагарина"</t>
  </si>
  <si>
    <t>Salavat Salavat</t>
  </si>
  <si>
    <t>Ресторан Салават Салават</t>
  </si>
  <si>
    <t>453260, Россия, Башкортостан республика, Салават, бульвар Космонавтов, 13а, стр.1</t>
  </si>
  <si>
    <t>kfc27@grufa.ru</t>
  </si>
  <si>
    <t>ООО "Глобал Фуд Салават"</t>
  </si>
  <si>
    <t>Salavat</t>
  </si>
  <si>
    <t>Ресторан Салават Сал</t>
  </si>
  <si>
    <t>Rahova Saratov</t>
  </si>
  <si>
    <t>Ресторан Рахова Саратов</t>
  </si>
  <si>
    <t>410012, Россия, Саратовская область, Саратов, Рахова, 152</t>
  </si>
  <si>
    <t>Rahova@kfc-saratov.ru</t>
  </si>
  <si>
    <t>Ресторан Рахова Сара</t>
  </si>
  <si>
    <t>KFC Sayanskaya Moscow</t>
  </si>
  <si>
    <t>KFC Саянская Москва</t>
  </si>
  <si>
    <t>111555, Россия, Москва, Саянская, 10а</t>
  </si>
  <si>
    <t>kfc-41@akrussia.com</t>
  </si>
  <si>
    <t>City Mall Saint-Petersburg</t>
  </si>
  <si>
    <t>Ресторан Сити Молл Санкт-Петербург</t>
  </si>
  <si>
    <t>197341, Россия, Санкт-Петербург, Коломяжский проспект, 17к1</t>
  </si>
  <si>
    <t>403268@myrest.team</t>
  </si>
  <si>
    <t>KFC Goryachy klyuch Goryachy klyuch</t>
  </si>
  <si>
    <t>KFC Горячий ключ Горячий ключ</t>
  </si>
  <si>
    <t>353290, Россия, Краснодарский край, Горячий Ключ, Вокзальная пл., 10</t>
  </si>
  <si>
    <t>403302@myrest.team</t>
  </si>
  <si>
    <t>Goryachy Klyuch</t>
  </si>
  <si>
    <t>Ploshad Vosstaniya Saint Petersburg</t>
  </si>
  <si>
    <t>Ресторан Площадь Восстания Санкт-Петербург</t>
  </si>
  <si>
    <t>191040, Россия, Санкт-Петербург, Лиговский проспект, д 47, лит А.</t>
  </si>
  <si>
    <t>403298@myrest.team</t>
  </si>
  <si>
    <t>Ресторан Площадь Вос</t>
  </si>
  <si>
    <t>KFC Plazma Murmansk</t>
  </si>
  <si>
    <t>KFC Плазма Мурманск</t>
  </si>
  <si>
    <t>183039, Россия, Мурманская область, Мурманск, Рогозерская, 4</t>
  </si>
  <si>
    <t>403297@myrest.team</t>
  </si>
  <si>
    <t>Molokova Krasnoyarsk</t>
  </si>
  <si>
    <t>Ресторан Молокова Красноярск</t>
  </si>
  <si>
    <t>660135, Россия, Красноярский край, Красноярск, Молокова, 56/1, пом. 6</t>
  </si>
  <si>
    <t>KFC0481@irb.rest</t>
  </si>
  <si>
    <t>Ресторан Молокова Кр</t>
  </si>
  <si>
    <t>KFC Sovenok Moscow</t>
  </si>
  <si>
    <t>KFC Совенок Москва</t>
  </si>
  <si>
    <t>127018, Россия, Москва, Сущёвский Вал, 5с9</t>
  </si>
  <si>
    <t>kfc-sovenok@qsr-pro.com</t>
  </si>
  <si>
    <t>ООО "КФС-Совенок"</t>
  </si>
  <si>
    <t>KFC Domodedovsky Moscow</t>
  </si>
  <si>
    <t>KFC Домодедовский Москва</t>
  </si>
  <si>
    <t>115582, Россия, Москва, Ореховый бульвар, 14к3</t>
  </si>
  <si>
    <t>kfc-domodedovskiy@qsr-pro.com</t>
  </si>
  <si>
    <t>ООО "КФС-Домодедовский"</t>
  </si>
  <si>
    <t>Sheremetevsky Moscow</t>
  </si>
  <si>
    <t>Ресторан Шереметьевский Москва</t>
  </si>
  <si>
    <t>129594, Россия, Москва, Шереметьевская, 20</t>
  </si>
  <si>
    <t>sherem@qsr-pro.com</t>
  </si>
  <si>
    <t>ООО "КФС-Шереметьевская"</t>
  </si>
  <si>
    <t>KFC Moskvorechie Moscow</t>
  </si>
  <si>
    <t>KFC Москворечье Москва</t>
  </si>
  <si>
    <t>125167, Россия, Москва, Каширское шоссе, 26</t>
  </si>
  <si>
    <t>kfc-moskvorechye@ffm.rest</t>
  </si>
  <si>
    <t>Electrougli Moscow Region</t>
  </si>
  <si>
    <t>Ресторан Электроугли Московская область</t>
  </si>
  <si>
    <t>142455, Россия, Московская область, Ногинский район, Электроугли, Школьная, 8</t>
  </si>
  <si>
    <t>MOElectrougli@uni.rest</t>
  </si>
  <si>
    <t>ЮНИРЕСТ</t>
  </si>
  <si>
    <t>ООО "ЮНИРЕСТ"</t>
  </si>
  <si>
    <t>Elektrougli</t>
  </si>
  <si>
    <t>Ресторан Электроугли</t>
  </si>
  <si>
    <t>Kurovskoe Moscow Region</t>
  </si>
  <si>
    <t>Ресторан Куровское Московская область</t>
  </si>
  <si>
    <t>142620, Россия, Московская область, Орехово-Зуевский городской округ, Куровское, Советская, 125</t>
  </si>
  <si>
    <t>MOKurovskoe@uni.rest</t>
  </si>
  <si>
    <t>Kurovskoye</t>
  </si>
  <si>
    <t>Ресторан Куровское М</t>
  </si>
  <si>
    <t>Tuchkovo Moscow Region</t>
  </si>
  <si>
    <t>Ресторан Тучково Московская область</t>
  </si>
  <si>
    <t>143130, Россия, Московская область, Рузский городской округ, п Тучково, ул. Кирова, д.1</t>
  </si>
  <si>
    <t>MOTuchkovo@uni.rest</t>
  </si>
  <si>
    <t>Tuchkovo</t>
  </si>
  <si>
    <t>Ресторан Тучково Мос</t>
  </si>
  <si>
    <t>Puschino Moscow Region</t>
  </si>
  <si>
    <t>Ресторан Пущино Московская область</t>
  </si>
  <si>
    <t>142290, Россия, Московская область, городской округ Пущино, Пущино, проспект Науки, д. 1Д</t>
  </si>
  <si>
    <t>MOPuschino@uni.rest</t>
  </si>
  <si>
    <t>Pushchino</t>
  </si>
  <si>
    <t>Ресторан Пущино Моск</t>
  </si>
  <si>
    <t>Sverdlovskiy Moscow Region</t>
  </si>
  <si>
    <t>Ресторан Свердловский Московская область</t>
  </si>
  <si>
    <t>141137, Россия, Московская область, Лосино-Петровский городской округ, рп Свердловский, ул. Строителей, д. 1</t>
  </si>
  <si>
    <t>MOSverdlovskiy@uni.rest</t>
  </si>
  <si>
    <t>Sverdlovskiy</t>
  </si>
  <si>
    <t>Ресторан Свердловски</t>
  </si>
  <si>
    <t>Nahabino Moscow Region</t>
  </si>
  <si>
    <t>Ресторан Нахабино Московская область</t>
  </si>
  <si>
    <t>143433, Россия, Московская область, городской округ Красногорск, рп Нахабино, ул. Школьная, д. 2</t>
  </si>
  <si>
    <t>MONahabino@uni.rest</t>
  </si>
  <si>
    <t>Nahabino</t>
  </si>
  <si>
    <t>Ресторан Нахабино Мо</t>
  </si>
  <si>
    <t>Dubninskaya Moscow</t>
  </si>
  <si>
    <t>Ресторан Дубнинская Москва</t>
  </si>
  <si>
    <t>127591, Россия, Москва, Дубнинская, 30</t>
  </si>
  <si>
    <t>kfc-dubninskaya@qsr-pro.com</t>
  </si>
  <si>
    <t>ООО "КФС-Дубнинский"</t>
  </si>
  <si>
    <t>Rastunovo Moscow Region</t>
  </si>
  <si>
    <t>Ресторан Растуново Московская область</t>
  </si>
  <si>
    <t>142062, Россия, Московская область, с Растуново, владение "Ливадия", стр. 1</t>
  </si>
  <si>
    <t>MORastunovo@uni.rest</t>
  </si>
  <si>
    <t>Rastunovo</t>
  </si>
  <si>
    <t>Ресторан Растуново М</t>
  </si>
  <si>
    <t>Snegiri Moscow Region</t>
  </si>
  <si>
    <t>Ресторан Снегири Московская область</t>
  </si>
  <si>
    <t>143590, Россия, Московская область, пгт Снегири, Московская улица, 18Б</t>
  </si>
  <si>
    <t>MOSnegiri@uni.rest</t>
  </si>
  <si>
    <t>Snegiri</t>
  </si>
  <si>
    <t>Ресторан Снегири Мос</t>
  </si>
  <si>
    <t>Skolkovo Moscow</t>
  </si>
  <si>
    <t>Ресторан Сколково Москва</t>
  </si>
  <si>
    <t>121205, Россия, Москва, Большой бульвар, дом 40</t>
  </si>
  <si>
    <t>MOSkolkovo@uni.rest</t>
  </si>
  <si>
    <t>Skolkovo</t>
  </si>
  <si>
    <t>Ресторан Сколково Мо</t>
  </si>
  <si>
    <t>Skhodnya Moscow Region</t>
  </si>
  <si>
    <t>Ресторан Сходня Московская область</t>
  </si>
  <si>
    <t>141441, Россия, Московская область, мкр. Сходня, Химки, Юбилейный проезд, вл. 5, стр. 4</t>
  </si>
  <si>
    <t>MOSkhodnya@uni.rest</t>
  </si>
  <si>
    <t>Ресторан Сходня Моск</t>
  </si>
  <si>
    <t>Yantarny Moscow Region</t>
  </si>
  <si>
    <t>Ресторан Янтарный Московская область</t>
  </si>
  <si>
    <t>143912, Россия, Московская область, мкр. Янтарный, Балашиха, ул. Кольцевая, д.3, к. 2</t>
  </si>
  <si>
    <t>MOYantarny@uni.rest</t>
  </si>
  <si>
    <t>Balashikha</t>
  </si>
  <si>
    <t>Ресторан Янтарный Мо</t>
  </si>
  <si>
    <t>Grabtsevo Kaluga</t>
  </si>
  <si>
    <t>Ресторан Грабцево Калуга</t>
  </si>
  <si>
    <t>248009, Россия, Калужская область, Калуга, Грабцевское шоссе, 47</t>
  </si>
  <si>
    <t>kaluga.grabcevo@katubr.ru</t>
  </si>
  <si>
    <t>ООО "Мг-Недвижимость"</t>
  </si>
  <si>
    <t>Ресторан Грабцево Ка</t>
  </si>
  <si>
    <t>KFC Pobeda Pushkino Moscow</t>
  </si>
  <si>
    <t>KFC Победа Пушкино Москва</t>
  </si>
  <si>
    <t>141207, Россия, Московская область, Пушкино, Московский проспект, 7а</t>
  </si>
  <si>
    <t>kfc-58@akrussia.com</t>
  </si>
  <si>
    <t>KFC Pushkino Moscow</t>
  </si>
  <si>
    <t>KFC Пушкино Москва</t>
  </si>
  <si>
    <t>141207, Россия, Московская область, Пушкино, Вокзальная, 1</t>
  </si>
  <si>
    <t>kfc-59@akrussia.com</t>
  </si>
  <si>
    <t>KFC Petrovsky Moscow</t>
  </si>
  <si>
    <t>KFC Петровский Москва</t>
  </si>
  <si>
    <t>143026, Россия, Москва, Можайское шоссе, 39</t>
  </si>
  <si>
    <t>kfc-mozhay@qsr-pro.com</t>
  </si>
  <si>
    <t>Union Tipanova Saint Petersburg</t>
  </si>
  <si>
    <t>Ресторан Юнион Типанова Санкт-Петербург</t>
  </si>
  <si>
    <t>196135, Россия, Санкт-Петербург, Типанова, д. 24, лит. А</t>
  </si>
  <si>
    <t>403304@myrest.team</t>
  </si>
  <si>
    <t>Semya Perm</t>
  </si>
  <si>
    <t>Ресторан Семья Пермь</t>
  </si>
  <si>
    <t>614010, Россия, Пермский край, Пермь, Революции, 13</t>
  </si>
  <si>
    <t>kfcsemja@restudm.ru</t>
  </si>
  <si>
    <t>ООО "Смарт Сервис"</t>
  </si>
  <si>
    <t>KFC Danilovskaya manufaktura Moscow</t>
  </si>
  <si>
    <t>KFC Даниловская мануфактура Москва</t>
  </si>
  <si>
    <t>117149, Россия, Москва, Варшавское шоссе, д. 5 стр. 2</t>
  </si>
  <si>
    <t>kfc9@ffm.rest</t>
  </si>
  <si>
    <t>KFC Moskvoretsky rynok Moscow</t>
  </si>
  <si>
    <t>KFC Москворецкий рынок Москва</t>
  </si>
  <si>
    <t>117149, Россия, Москва, Болотниковская, 12с4</t>
  </si>
  <si>
    <t>kfc10@ffm.rest</t>
  </si>
  <si>
    <t>KFC Burevestnik Vladimir</t>
  </si>
  <si>
    <t>KFC Буревестник Владимир</t>
  </si>
  <si>
    <t>600015, Россия, Владимирская область, Владимир, просп. Ленина, 29</t>
  </si>
  <si>
    <t>kfc-46@akrussia.com</t>
  </si>
  <si>
    <t>KFC Malina Ryazan</t>
  </si>
  <si>
    <t>KFC Малина Рязань</t>
  </si>
  <si>
    <t>390000, Россия, Рязанская область, Рязань, Соборная, 15а</t>
  </si>
  <si>
    <t>kfc-62@akrussia.com</t>
  </si>
  <si>
    <t>KFC Euroland Ivanovo</t>
  </si>
  <si>
    <t>KFC Евролэнд Иваново</t>
  </si>
  <si>
    <t>153013, Россия, Ивановская область, Иваново, Куконковых, 141</t>
  </si>
  <si>
    <t>kfc-57@akrussia.com</t>
  </si>
  <si>
    <t>KFC Akvarel Tambov</t>
  </si>
  <si>
    <t>KFC Акварель Тамбов</t>
  </si>
  <si>
    <t>392000, Россия, Тамбовская область, Тамбов, Студенецкая Набережная, 20а</t>
  </si>
  <si>
    <t>kfc-61@akrussia.com</t>
  </si>
  <si>
    <t>Tambov</t>
  </si>
  <si>
    <t>KFC Alexandrov Alexandrov</t>
  </si>
  <si>
    <t>KFC Александров Александров</t>
  </si>
  <si>
    <t>601654, Россия, Владимирская область, Александров, Ленина, 16, стр. 9</t>
  </si>
  <si>
    <t>kfc-54@akrussia.com</t>
  </si>
  <si>
    <t>Aleksandrov</t>
  </si>
  <si>
    <t>KFC Brosko mall Khabarovsk</t>
  </si>
  <si>
    <t>KFC Броско молл Хабаровск</t>
  </si>
  <si>
    <t>680006, Россия, Хабаровский край, Хабаровск, Пионерская, 2б</t>
  </si>
  <si>
    <t>KFC.BROSKOMALL@goodfood-dv.ru</t>
  </si>
  <si>
    <t>KFC Броско молл Хаба</t>
  </si>
  <si>
    <t>KFC Gogolya Vladivostok</t>
  </si>
  <si>
    <t>KFC Гоголя Владивосток</t>
  </si>
  <si>
    <t>690014, Россия, Приморский край, Владивосток, Гоголя, 41</t>
  </si>
  <si>
    <t>kfc.vgues@goodfood-dv.ru</t>
  </si>
  <si>
    <t>KFC Гоголя Владивост</t>
  </si>
  <si>
    <t>KFC Lebedyanskaya Moscow</t>
  </si>
  <si>
    <t>KFC Лебедянская Москва</t>
  </si>
  <si>
    <t>115372, Россия, Москва, Бирюлёвская, 43</t>
  </si>
  <si>
    <t>kfc12@ffm.rest</t>
  </si>
  <si>
    <t>KFC Vysotskogo Novosibirsk</t>
  </si>
  <si>
    <t>KFC Высоцкого Новосибирск</t>
  </si>
  <si>
    <t>630133, Россия, Новосибирская область, Новосибирск, Высоцкого, 45/1</t>
  </si>
  <si>
    <t>KFC0482@irb.rest</t>
  </si>
  <si>
    <t>KFC Dom Byta Omsk</t>
  </si>
  <si>
    <t>KFC Дом Быта Омск</t>
  </si>
  <si>
    <t>644043, Россия, Омская область, Омск, Герцена, 19</t>
  </si>
  <si>
    <t>KFC0484@irb.rest</t>
  </si>
  <si>
    <t>Omsk</t>
  </si>
  <si>
    <t>KFC Kosmos Chelyabinsk</t>
  </si>
  <si>
    <t>KFC Космос Челябинск</t>
  </si>
  <si>
    <t>454003, Россия, Челябинская область, Челябинск, улица Чичерина, 28</t>
  </si>
  <si>
    <t>kfc29@grufa.ru</t>
  </si>
  <si>
    <t>ООО "Глобал Фуд Космос"</t>
  </si>
  <si>
    <t>Yudino Moscow Region</t>
  </si>
  <si>
    <t>Ресторан Юдино Московская область</t>
  </si>
  <si>
    <t>143081, Россия, Московская область, Одинцовский городской округ, с Юдино, ул. Пролетарская, д.2А</t>
  </si>
  <si>
    <t>MOYudino@uni.rest</t>
  </si>
  <si>
    <t>Yudino</t>
  </si>
  <si>
    <t>Ресторан Юдино Моско</t>
  </si>
  <si>
    <t>KFC Matryoshka Tyumen</t>
  </si>
  <si>
    <t>KFC Матрёшка Тюмень</t>
  </si>
  <si>
    <t>625046, Россия, Тюменская область, Тюмень, ул. Широтная, 112б</t>
  </si>
  <si>
    <t>KFC0487@irb.rest</t>
  </si>
  <si>
    <t>Tyumen</t>
  </si>
  <si>
    <t>Beloozersky Moscow Region</t>
  </si>
  <si>
    <t>Ресторан Белоозерский Московская область</t>
  </si>
  <si>
    <t>140250, Россия, Московская область, Воскресенский район, пгт Белоозерский, ул. Молодежная, д. 1д</t>
  </si>
  <si>
    <t>MOBeloozersky@uni.rest</t>
  </si>
  <si>
    <t>Beloozerskiy</t>
  </si>
  <si>
    <t>Ресторан Белоозерски</t>
  </si>
  <si>
    <t>KFC Khlobystova Moscow</t>
  </si>
  <si>
    <t>KFC Хлобыстова Москва</t>
  </si>
  <si>
    <t>109542, Россия, Москва, Хлобыстова, 7</t>
  </si>
  <si>
    <t>kfc-vykhino-1252@cityrst.ru</t>
  </si>
  <si>
    <t>MKAD 38 Moscow</t>
  </si>
  <si>
    <t>Ресторан МКАД 38 Москва</t>
  </si>
  <si>
    <t>109145, Россия, Москва, МКАД 38 км, вл.6А, стр. 1</t>
  </si>
  <si>
    <t>kfc-mkad38-1257@cityrst.ru</t>
  </si>
  <si>
    <t>Gorki 10 Moscow Region</t>
  </si>
  <si>
    <t>Ресторан Горки 10 Московская область</t>
  </si>
  <si>
    <t>143032, Россия, Московская область, Одинцовский городской округ, п Горки-10, , 30А</t>
  </si>
  <si>
    <t>MOGorki10@uni.rest</t>
  </si>
  <si>
    <t>Gorki-10</t>
  </si>
  <si>
    <t>Ресторан Горки 10 Мо</t>
  </si>
  <si>
    <t>Mikhnevo Moscow Region</t>
  </si>
  <si>
    <t>Ресторан Михнево Московская область</t>
  </si>
  <si>
    <t>142840, Россия, Московская область, Ступинский район, п Михнево, ул. Советская, вл. 8</t>
  </si>
  <si>
    <t>MOMikhnevo@uni.rest</t>
  </si>
  <si>
    <t>Mikhnevo</t>
  </si>
  <si>
    <t>Ресторан Михнево Мос</t>
  </si>
  <si>
    <t>KFC Kovrov Kovrov</t>
  </si>
  <si>
    <t>KFC Ковров Ковров</t>
  </si>
  <si>
    <t>601915, Россия, Владимирская область, Ковров, Строителей, 25</t>
  </si>
  <si>
    <t>kfc-63@akrussia.com</t>
  </si>
  <si>
    <t>Kovrov</t>
  </si>
  <si>
    <t>Pushkina Perm</t>
  </si>
  <si>
    <t>Ресторан Пушкина Пермь</t>
  </si>
  <si>
    <t>614000, Россия, Пермский край, Пермь, Пушкина, 87АА</t>
  </si>
  <si>
    <t>kfcpush@restudm.ru</t>
  </si>
  <si>
    <t>Ресторан Пушкина Пер</t>
  </si>
  <si>
    <t>Mira Perm</t>
  </si>
  <si>
    <t>Ресторан Мира Пермь</t>
  </si>
  <si>
    <t>614066, Россия, Пермский край, Пермь, Мира, 20</t>
  </si>
  <si>
    <t>kfcm20@restudm.ru</t>
  </si>
  <si>
    <t>KFC Dovatora Vladikavkaz</t>
  </si>
  <si>
    <t>KFC Доватора Владикавказ</t>
  </si>
  <si>
    <t>362048, Россия, Северная Осетия - Алания республика, Владикавказ, пр-кт Доватора, 97</t>
  </si>
  <si>
    <t>kfc.dovatora@yummy-group.ru</t>
  </si>
  <si>
    <t>Kosmonavtov Perm</t>
  </si>
  <si>
    <t>Ресторан Космонавтов Пермь</t>
  </si>
  <si>
    <t>614065, Россия, Пермский край, Пермь, Космонавтов, 325</t>
  </si>
  <si>
    <t>kfckosmo@restudm.ru</t>
  </si>
  <si>
    <t>Kushelevka Spar Saint Petersburg</t>
  </si>
  <si>
    <t>Ресторан Кушелевка Спар Санкт-Петербург</t>
  </si>
  <si>
    <t>195220, Россия, Санкт-Петербург, Кушелевская дорога 1к1</t>
  </si>
  <si>
    <t>403309@myrest.team</t>
  </si>
  <si>
    <t>KFC Planeta Yoshkar-Ola</t>
  </si>
  <si>
    <t>KFC Планета Йошкар-Ола</t>
  </si>
  <si>
    <t>424019, Россия, Марий Эл республика, Йошкар-Ола, Баумана, 16</t>
  </si>
  <si>
    <t>403307@myrest.team</t>
  </si>
  <si>
    <t>Yoshkar-Ola</t>
  </si>
  <si>
    <t>Hudojnikov Saint Petersburg</t>
  </si>
  <si>
    <t>Ресторан Художников Санкт-Петербург</t>
  </si>
  <si>
    <t>194295, Россия, Санкт-Петербург, проспект Художников, 13</t>
  </si>
  <si>
    <t>403308@myrest.team</t>
  </si>
  <si>
    <t>Tikhvin Spar Tikhvin</t>
  </si>
  <si>
    <t>Ресторан Тихвин Спар Тихвин</t>
  </si>
  <si>
    <t>187555, Россия, Ленинградская область, Тихвин, Карла Маркса, 50б</t>
  </si>
  <si>
    <t>403305@myrest.team</t>
  </si>
  <si>
    <t>Tikhvin</t>
  </si>
  <si>
    <t>KFC Korston Kazan</t>
  </si>
  <si>
    <t>KFC Корстон Казань</t>
  </si>
  <si>
    <t>420061, Россия, Татарстан республика, Казань, Н. Ершова, 1а</t>
  </si>
  <si>
    <t>403306@myrest.team</t>
  </si>
  <si>
    <t>KFC Aviator Artyom</t>
  </si>
  <si>
    <t>KFC Авиатор Артём</t>
  </si>
  <si>
    <t>692756, Россия, Приморский край, Артём, Фрунзе, 32а</t>
  </si>
  <si>
    <t>KFC.AVIATOR@goodfood-dv.ru</t>
  </si>
  <si>
    <t>Artyom</t>
  </si>
  <si>
    <t>KFC Strelka Khabarovsk</t>
  </si>
  <si>
    <t>KFC Стрелка Хабаровск</t>
  </si>
  <si>
    <t>680031, Россия, Хабаровский край, Хабаровск, Чернореченское шоссе, 2Б</t>
  </si>
  <si>
    <t>KFC.STRELKA@goodfood-dv.ru</t>
  </si>
  <si>
    <t>KFC Стрелка Хабаровс</t>
  </si>
  <si>
    <t>Rostokino Moscow</t>
  </si>
  <si>
    <t>Ресторан Ростокино Москва</t>
  </si>
  <si>
    <t>129226, Россия, Москва, Проспект Мира, 211к2</t>
  </si>
  <si>
    <t>kfc-evropolis@mail.ru</t>
  </si>
  <si>
    <t>ООО "Фудтрейд"</t>
  </si>
  <si>
    <t>Ресторан Ростокино М</t>
  </si>
  <si>
    <t>Vnukovskoye Moscow</t>
  </si>
  <si>
    <t>Ресторан Внуковское Москва</t>
  </si>
  <si>
    <t>108811, Россия, Москва, поселение Внуковское, квартал 30, вл. 1, с.1</t>
  </si>
  <si>
    <t>MOVnukovskoye@uni.rest</t>
  </si>
  <si>
    <t>Vnukovskoye</t>
  </si>
  <si>
    <t>Ресторан Внуковское</t>
  </si>
  <si>
    <t>Aviatsionny Moscow Region</t>
  </si>
  <si>
    <t>Ресторан Авиационный Московская область</t>
  </si>
  <si>
    <t>142007, Россия, Московская область, микрорайон Авиационный, Домодедово, ул. Чкалова, д.1</t>
  </si>
  <si>
    <t>MOAviatsionny@uni.rest</t>
  </si>
  <si>
    <t>Domodedovo</t>
  </si>
  <si>
    <t>Ресторан Авиационный</t>
  </si>
  <si>
    <t>Purshevo Moscow Region</t>
  </si>
  <si>
    <t>Ресторан Пуршево Московская область</t>
  </si>
  <si>
    <t>143985, Россия, Московская область, д Соболиха, Балашиха, ул. Новослободская,, д. 7а</t>
  </si>
  <si>
    <t>MOPurshevo@uni.rest</t>
  </si>
  <si>
    <t>Purshevo</t>
  </si>
  <si>
    <t>Ресторан Пуршево Мос</t>
  </si>
  <si>
    <t>KFC Manezhnaya Moscow</t>
  </si>
  <si>
    <t>KFC Манежная Москва</t>
  </si>
  <si>
    <t>manezh2@gfgroup.ru</t>
  </si>
  <si>
    <t>KFC Savushkina Astrakhan</t>
  </si>
  <si>
    <t>KFC Савушкина Астрахань</t>
  </si>
  <si>
    <t>414056, Россия, Астраханская область, Астрахань, Савушкина, 45А</t>
  </si>
  <si>
    <t>kfc-91@akrussia.com</t>
  </si>
  <si>
    <t>KFC City Astrakhan</t>
  </si>
  <si>
    <t>KFC Сити Астрахань</t>
  </si>
  <si>
    <t>414056, Россия, Астраханская область, Астрахань, Савушкина, 5</t>
  </si>
  <si>
    <t>kfc-68@akrussia.com</t>
  </si>
  <si>
    <t>KFC Tri kota Astrakhan</t>
  </si>
  <si>
    <t>KFC Три кота Астрахань</t>
  </si>
  <si>
    <t>414041, Россия, Астраханская область, Астрахань, Минусинская, 8</t>
  </si>
  <si>
    <t>kfc-67@akrussia.com</t>
  </si>
  <si>
    <t>KFC Petushki Vladimir</t>
  </si>
  <si>
    <t>KFC Петушки Владимир</t>
  </si>
  <si>
    <t>601143, Россия, Владимирская область, Петушки, Нижегородская ул., д. 4а</t>
  </si>
  <si>
    <t>kfc-56@akrussia.com</t>
  </si>
  <si>
    <t>Petushki</t>
  </si>
  <si>
    <t>KFC Sovetskaya Tambov</t>
  </si>
  <si>
    <t>KFC Советская Тамбов</t>
  </si>
  <si>
    <t>392000, Россия, Тамбовская область, Тамбов, Советская, 120</t>
  </si>
  <si>
    <t>kfc-65@akrussia.com</t>
  </si>
  <si>
    <t>KFC TSUM Ulyanovsk</t>
  </si>
  <si>
    <t>KFC ЦУМ Ульяновск</t>
  </si>
  <si>
    <t>432000, Россия, Ульяновская область, Ульяновск, ул. Гончарова, 21</t>
  </si>
  <si>
    <t>kfc-ulyanovsk-0117@cityrst.ru</t>
  </si>
  <si>
    <t>KFC Dars Ulyanovsk</t>
  </si>
  <si>
    <t>KFC Дарс Ульяновск</t>
  </si>
  <si>
    <t>432029, Россия, Ульяновская область, Ульяновск, Рябикова, 49б</t>
  </si>
  <si>
    <t>kfc-ulyanovsk-0118@cityrst.ru</t>
  </si>
  <si>
    <t>KFC Boshe Stary Oskol</t>
  </si>
  <si>
    <t>KFC Боше Старый Оскол</t>
  </si>
  <si>
    <t>309516, Россия, Белгородская область, Старый Оскол, мкр. Ольминского, 17</t>
  </si>
  <si>
    <t>kfc-boshe-0120@cityrst.ru</t>
  </si>
  <si>
    <t>Stary Oskol</t>
  </si>
  <si>
    <t>Panorama Gorno-Altaysk</t>
  </si>
  <si>
    <t>Ресторан Панорама Горно-Алтайск</t>
  </si>
  <si>
    <t>649000, Россия, Алтай республика, Горно-Алтайск, пр. Коммунистический, 11</t>
  </si>
  <si>
    <t>kfcpanorama@ffaltay.ru</t>
  </si>
  <si>
    <t>ООО "Тэсти"</t>
  </si>
  <si>
    <t>Gorno-Altaysk</t>
  </si>
  <si>
    <t>KFC Панорама Горно-А</t>
  </si>
  <si>
    <t>KFC Hyper City Kurgan</t>
  </si>
  <si>
    <t>KFC Гипер Сити Курган</t>
  </si>
  <si>
    <t>640003, Россия, Курганская область, Курган, Коли Мяготина, 8</t>
  </si>
  <si>
    <t>KFC0490@irb.rest</t>
  </si>
  <si>
    <t>Kurgan</t>
  </si>
  <si>
    <t>KFC Benneton Omsk</t>
  </si>
  <si>
    <t>KFC Беннетон Омск</t>
  </si>
  <si>
    <t>644043, Россия, Омская область, Омск, Ленина, 7</t>
  </si>
  <si>
    <t>KFC0491@irb.rest</t>
  </si>
  <si>
    <t>KFC Krymskaya Moscow</t>
  </si>
  <si>
    <t>KFC Крымская Москва</t>
  </si>
  <si>
    <t>117447, Россия, Москва, Севастопольский проспект, 20б</t>
  </si>
  <si>
    <t>kfc13@ffm.rest</t>
  </si>
  <si>
    <t>KFC Noviy Dom Lobnya Moscow</t>
  </si>
  <si>
    <t>KFC Новый дом Лобня Москва</t>
  </si>
  <si>
    <t>141732, Россия, Московская область, Лобня, Светлая, 1</t>
  </si>
  <si>
    <t>KFC0492@irb.rest</t>
  </si>
  <si>
    <t>Lobnya</t>
  </si>
  <si>
    <t>KFC Pilot Schelkovo Moscow</t>
  </si>
  <si>
    <t>KFC Пилот Щелково Москва</t>
  </si>
  <si>
    <t>141103, Россия, Московская область, мкрн. Щелково-3, Щёлково, ул.Радиоцентр №5, 7а</t>
  </si>
  <si>
    <t>KFC0693@irb.rest</t>
  </si>
  <si>
    <t>Shchyolkovo</t>
  </si>
  <si>
    <t>KFC Savelovskiy 3 Moscow</t>
  </si>
  <si>
    <t>KFC Савеловский 3 Москва</t>
  </si>
  <si>
    <t>127015, Россия, Москва, площадь Савёловского Вокзала, 2с10</t>
  </si>
  <si>
    <t>kfc-savelovskiy3-1254@cityrst.ru</t>
  </si>
  <si>
    <t>KFC Савеловский 3 Мо</t>
  </si>
  <si>
    <t>KFC Ganza Yakutsk</t>
  </si>
  <si>
    <t>KFC Ганза Якутск</t>
  </si>
  <si>
    <t>677009, Россия, Саха /Якутия республика, Якутск, ул. Дзержинского, 65</t>
  </si>
  <si>
    <t>kfcganza@multi-menu.com</t>
  </si>
  <si>
    <t>KFC Firsanovskoe shosse Zelenograd</t>
  </si>
  <si>
    <t>KFC Фирсановское шоссе Зеленоград</t>
  </si>
  <si>
    <t>124489, Россия, Москва, Зеленоград, Проезд 4807, 6</t>
  </si>
  <si>
    <t>kfc-zelenograd@qsr-pro.com</t>
  </si>
  <si>
    <t>Kuban Krasnodar</t>
  </si>
  <si>
    <t>Ресторан Кубань Краснодар</t>
  </si>
  <si>
    <t>350063, Россия, Краснодарский край, Краснодарский край, Краснодар, ул. Кубанская Набережная, 31</t>
  </si>
  <si>
    <t>403312@myrest.team</t>
  </si>
  <si>
    <t>Kosygina 30 Saint-Petersburg</t>
  </si>
  <si>
    <t>Ресторан Косыгина 30 Санкт-Петербург</t>
  </si>
  <si>
    <t>195298, Россия, Санкт-Петербург, проспект Косыгина, д. 30, к1Б</t>
  </si>
  <si>
    <t>403310@myrest.team</t>
  </si>
  <si>
    <t>KFC Shupashkar Cheboksary</t>
  </si>
  <si>
    <t>KFC Шупашкар Чебоксары</t>
  </si>
  <si>
    <t>428027, Россия, Чувашская Республика - Чувашия, Чувашская Республика, Чебоксары, проспект Тракторостроителей, 3</t>
  </si>
  <si>
    <t>403313@myrest.team</t>
  </si>
  <si>
    <t>Solnechny gorod Saint-Petersburg</t>
  </si>
  <si>
    <t>Ресторан Солнечный город Санкт-Петербург</t>
  </si>
  <si>
    <t>198206, Россия, Санкт-Петербург, проспект Ветеранов, д.169, к4, стр.1</t>
  </si>
  <si>
    <t>403315@myrest.team</t>
  </si>
  <si>
    <t>Nevsky Saint-Petersburg</t>
  </si>
  <si>
    <t>Ресторан Невский Санкт-Петербург</t>
  </si>
  <si>
    <t>191025, Россия, Санкт-Петербург, Маяковского, 1/96</t>
  </si>
  <si>
    <t>403001@myrest.team</t>
  </si>
  <si>
    <t>Ресторан Невский Сан</t>
  </si>
  <si>
    <t>Ozerki Saint-Petersburg</t>
  </si>
  <si>
    <t>Ресторан Озерки Санкт-Петербург</t>
  </si>
  <si>
    <t>194356, Россия, Санкт-Петербург, Выборгское шоссе, 3к1</t>
  </si>
  <si>
    <t>403002@myrest.team</t>
  </si>
  <si>
    <t>MEGA Teply Stan Moscow</t>
  </si>
  <si>
    <t>Ресторан Мега Теплый Стан Москва</t>
  </si>
  <si>
    <t>142704, Россия, Москва, Калужское шоссе, 21-й километр</t>
  </si>
  <si>
    <t>403134@myrest.team</t>
  </si>
  <si>
    <t>Kaskad Saint-Petersburg</t>
  </si>
  <si>
    <t>Ресторан Каскад Санкт-Петербург</t>
  </si>
  <si>
    <t>195112, Россия, Санкт-Петербург, Заневский проспект, 67к2</t>
  </si>
  <si>
    <t>403113@myrest.team</t>
  </si>
  <si>
    <t>Nord Saint-Petersburg</t>
  </si>
  <si>
    <t>Ресторан Норд Санкт-Петербург</t>
  </si>
  <si>
    <t>194356, Россия, Санкт-Петербург, проспект Просвещения, 19</t>
  </si>
  <si>
    <t>403005@myrest.team</t>
  </si>
  <si>
    <t>Petrograd Saint-Petersburg</t>
  </si>
  <si>
    <t>Ресторан Петроград Санкт-Петербург</t>
  </si>
  <si>
    <t>197022, Россия, Санкт-Петербург, Каменноостровский проспект, 37</t>
  </si>
  <si>
    <t>403007@myrest.team</t>
  </si>
  <si>
    <t>Mercury Saint-Petersburg</t>
  </si>
  <si>
    <t>Ресторан Меркурий Санкт-Петербург</t>
  </si>
  <si>
    <t>197374, Россия, Санкт-Петербург, Савушкина, 141</t>
  </si>
  <si>
    <t>403009@myrest.team</t>
  </si>
  <si>
    <t>Akadem Park Saint-Petersburg</t>
  </si>
  <si>
    <t>Ресторан Академ парк Санкт-Петербург</t>
  </si>
  <si>
    <t>195220, Россия, Санкт-Петербург, Гражданский проспект, 41</t>
  </si>
  <si>
    <t>403069@myrest.team</t>
  </si>
  <si>
    <t>Gulliver Saint-Petersburg</t>
  </si>
  <si>
    <t>Ресторан Гулливер Санкт-Петербург</t>
  </si>
  <si>
    <t>197374, Россия, Санкт-Петербург, Торфяная дорога, 7</t>
  </si>
  <si>
    <t>403010@myrest.team</t>
  </si>
  <si>
    <t>2 015</t>
  </si>
  <si>
    <t>Pulkovo Saint-Petersburg</t>
  </si>
  <si>
    <t>Ресторан Пулково Санкт-Петербург</t>
  </si>
  <si>
    <t>196210, Россия, Санкт-Петербург, Шереметьевская, 11</t>
  </si>
  <si>
    <t>403011@myrest.team</t>
  </si>
  <si>
    <t>Grand Canyon Saint-Petersburg</t>
  </si>
  <si>
    <t>Ресторан Гранд Каньон Санкт-Петербург</t>
  </si>
  <si>
    <t>194358, Россия, Санкт-Петербург, проспект Энгельса, 154</t>
  </si>
  <si>
    <t>403014@myrest.team</t>
  </si>
  <si>
    <t>Kaleydoskop Moscow</t>
  </si>
  <si>
    <t>Ресторан Калейдоскоп Москва</t>
  </si>
  <si>
    <t>125363, Россия, Москва, Сходненская, 56</t>
  </si>
  <si>
    <t>kfc-scope@qsr-pro.com</t>
  </si>
  <si>
    <t>ООО "КФС-Калейдоскоп"</t>
  </si>
  <si>
    <t>KFC Yuzhny Kazan</t>
  </si>
  <si>
    <t>KFC Южный Казань</t>
  </si>
  <si>
    <t>420140, Россия, Татарстан республика, Казань, проспект Победы, 91</t>
  </si>
  <si>
    <t>403088@myrest.team</t>
  </si>
  <si>
    <t>Panorama Moscow</t>
  </si>
  <si>
    <t>Ресторан Панорама Москва</t>
  </si>
  <si>
    <t>117335, Россия, Москва, Гарибальди, 23</t>
  </si>
  <si>
    <t>kfc-panorama-0882@cityrst.ru</t>
  </si>
  <si>
    <t>Ramstor Belyaevo Moscow</t>
  </si>
  <si>
    <t>Ресторан Рамстор Беляево Москва</t>
  </si>
  <si>
    <t>117279, Россия, Москва, Миклухо-Маклая, 32А</t>
  </si>
  <si>
    <t>403034@myrest.team</t>
  </si>
  <si>
    <t>Kaluzhskaya Moscow</t>
  </si>
  <si>
    <t>Ресторан Калужская Москва</t>
  </si>
  <si>
    <t>117420, Россия, Москва, Профсоюзная, 61</t>
  </si>
  <si>
    <t>kfc-kaluzhskij-0157@cityrst.ru</t>
  </si>
  <si>
    <t>Dmitrovskaya Moscow</t>
  </si>
  <si>
    <t>Ресторан Дмитровская Москва</t>
  </si>
  <si>
    <t>127015, Россия, Москва, Бутырская, 89</t>
  </si>
  <si>
    <t>403030@myrest.team</t>
  </si>
  <si>
    <t>Waypark Moscow</t>
  </si>
  <si>
    <t>Ресторан Вейпарк Москва</t>
  </si>
  <si>
    <t>143441, Россия, Московская область, д Путилково, МКАД, 71-й километр, 16 А</t>
  </si>
  <si>
    <t>403037@myrest.team</t>
  </si>
  <si>
    <t>KFC Proletarskaya Moscow</t>
  </si>
  <si>
    <t>KFC Пролетарская Москва</t>
  </si>
  <si>
    <t>109044, Россия, Москва, 3-й Крутицкий переулок, 18</t>
  </si>
  <si>
    <t>403133@myrest.team</t>
  </si>
  <si>
    <t>2 016</t>
  </si>
  <si>
    <t>Liga Moscow</t>
  </si>
  <si>
    <t>Ресторан Лига Москва</t>
  </si>
  <si>
    <t>141408, Россия, Московская область, Химки, Ленинградское шоссе, вл5</t>
  </si>
  <si>
    <t>403031@myrest.team</t>
  </si>
  <si>
    <t>XL3 Moscow</t>
  </si>
  <si>
    <t>Ресторан XL3 Москва</t>
  </si>
  <si>
    <t>141011, Россия, Московская область, Мытищи, Коммунистическая, 1</t>
  </si>
  <si>
    <t>403032@myrest.team</t>
  </si>
  <si>
    <t>Mytischi</t>
  </si>
  <si>
    <t>Kaluga Kaluga</t>
  </si>
  <si>
    <t>Ресторан Калуга Калуга</t>
  </si>
  <si>
    <t>248001, Россия, Калужская область, Калуга, Кирова, 24</t>
  </si>
  <si>
    <t>kaluga.kirova@katubr.ru</t>
  </si>
  <si>
    <t>ООО "РБО"</t>
  </si>
  <si>
    <t>Ресторан Калуга Калу</t>
  </si>
  <si>
    <t>Continent Saint-Petersburg</t>
  </si>
  <si>
    <t>Ресторан Континент Санкт-Петербург</t>
  </si>
  <si>
    <t>198302, Россия, Санкт-Петербург, проспект Стачек, 99</t>
  </si>
  <si>
    <t>403015@myrest.team</t>
  </si>
  <si>
    <t>Real Moscow</t>
  </si>
  <si>
    <t>Ресторан Реал Москва</t>
  </si>
  <si>
    <t>127273, Россия, Москва, Сигнальный проезд, 17</t>
  </si>
  <si>
    <t>403035@myrest.team</t>
  </si>
  <si>
    <t>KFC Ritail Park Moscow</t>
  </si>
  <si>
    <t>KFC Ритейл Парк Москва</t>
  </si>
  <si>
    <t>117556, Россия, Москва, Варшавское шоссе, 97</t>
  </si>
  <si>
    <t>403033@myrest.team</t>
  </si>
  <si>
    <t>KFC Tatneft Moscow</t>
  </si>
  <si>
    <t>KFC Татнефть Москва</t>
  </si>
  <si>
    <t>353482, Россия, Московская область, Ленинский район, д Калиновка, а/д Дон, 28-й километр, уч. 13</t>
  </si>
  <si>
    <t>avto-bistro@mail.ru</t>
  </si>
  <si>
    <t>ООО "Автобистро"</t>
  </si>
  <si>
    <t>Krasny Kit Moscow</t>
  </si>
  <si>
    <t>Ресторан Красный Кит Москва</t>
  </si>
  <si>
    <t>141006, Россия, Московская область, Мытищи, Шараповский проезд, вл2с2</t>
  </si>
  <si>
    <t>403036@myrest.team</t>
  </si>
  <si>
    <t>KFC Savelovskiy Moscow</t>
  </si>
  <si>
    <t>KFC Савеловский Москва</t>
  </si>
  <si>
    <t>127015, Россия, Москва, площадь Савёловского Вокзала, 2</t>
  </si>
  <si>
    <t>kfc-savelovskiy-1020@cityrst.ru</t>
  </si>
  <si>
    <t>KFC Савеловский Моск</t>
  </si>
  <si>
    <t>Dybenko Saint-Petersburg</t>
  </si>
  <si>
    <t>Ресторан Дыбенко Санкт-Петербург</t>
  </si>
  <si>
    <t>193168, Россия, Санкт-Петербург, проспект Большевиков, 18к2</t>
  </si>
  <si>
    <t>403018@myrest.team</t>
  </si>
  <si>
    <t>Rzhevka Saint-Petersburg</t>
  </si>
  <si>
    <t>Ресторан Ржевка Санкт-Петербург</t>
  </si>
  <si>
    <t>195279, Россия, Санкт-Петербург, Индустриальный проспект, 24</t>
  </si>
  <si>
    <t>403019@myrest.team</t>
  </si>
  <si>
    <t>Karla Marksa Izhevsk</t>
  </si>
  <si>
    <t>Ресторан Карла Маркса Ижевск</t>
  </si>
  <si>
    <t>426057, Россия, Удмуртская республика, Ижевск, Карла Маркса, 177</t>
  </si>
  <si>
    <t>kfc1@restudm.ru</t>
  </si>
  <si>
    <t>Ресторан Карла Маркс</t>
  </si>
  <si>
    <t>Prazhskaya Moscow</t>
  </si>
  <si>
    <t>Ресторан Пражская Москва</t>
  </si>
  <si>
    <t>117519, Россия, Москва, Красного Маяка, 2Б</t>
  </si>
  <si>
    <t>planinvest3@mail.ru</t>
  </si>
  <si>
    <t>Ресторан Пражская Мо</t>
  </si>
  <si>
    <t>KFC Perlovka Moscow</t>
  </si>
  <si>
    <t>KFC Перловка Москва</t>
  </si>
  <si>
    <t>141014, Россия, Московская область, Мытищи, Селезнёва, 33</t>
  </si>
  <si>
    <t>403029@myrest.team</t>
  </si>
  <si>
    <t>KFC Mega Aksay</t>
  </si>
  <si>
    <t>KFC Мега Аксай</t>
  </si>
  <si>
    <t>346715, Россия, Ростовская область, Аксай, Аксайский проспект, 23</t>
  </si>
  <si>
    <t>kfc.mega@yummy-group.ru</t>
  </si>
  <si>
    <t>Aksay</t>
  </si>
  <si>
    <t>Rybatskoe Saint-Petersburg</t>
  </si>
  <si>
    <t>Ресторан Рыбацкое Санкт-Петербург</t>
  </si>
  <si>
    <t>192177, Россия, Санкт-Петербург, Прибрежная, 18</t>
  </si>
  <si>
    <t>403028@myrest.team</t>
  </si>
  <si>
    <t>Kultury 7 Saint-Petersburg</t>
  </si>
  <si>
    <t>Ресторан Культуры 7 Санкт-Петербург</t>
  </si>
  <si>
    <t>195274, Россия, Санкт-Петербург, проспект Культуры, 7А</t>
  </si>
  <si>
    <t>403022@myrest.team</t>
  </si>
  <si>
    <t>Atmosphere Saint-Petersburg</t>
  </si>
  <si>
    <t>Ресторан Атмосфера Санкт-Петербург</t>
  </si>
  <si>
    <t>197372, Россия, Санкт-Петербург, Комендантская площадь, 1</t>
  </si>
  <si>
    <t>403027@myrest.team</t>
  </si>
  <si>
    <t>Flagman Ufa</t>
  </si>
  <si>
    <t>Ресторан Флагман Уфа</t>
  </si>
  <si>
    <t>450077, Россия, Башкортостан республика, Уфа, Коммунистическая, 49</t>
  </si>
  <si>
    <t>kfc2@grufa.ru</t>
  </si>
  <si>
    <t>ООО "Глобал Фуд Уфа"</t>
  </si>
  <si>
    <t>KFC Zhukova Stavropol</t>
  </si>
  <si>
    <t>KFC Жукова Ставрополь</t>
  </si>
  <si>
    <t>355016, Россия, Ставропольский край, город Ставрополь, Маршала Жукова, 2</t>
  </si>
  <si>
    <t>kfc.zhukova@yummy.rest</t>
  </si>
  <si>
    <t>Pushkinskaya Izhevsk</t>
  </si>
  <si>
    <t>Ресторан Пушкинская Ижевск</t>
  </si>
  <si>
    <t>426008, Россия, Удмуртская республика, Ижевск, Пушкинская, 268</t>
  </si>
  <si>
    <t>kfc2@restudm.ru</t>
  </si>
  <si>
    <t>Ресторан Пушкинская</t>
  </si>
  <si>
    <t>Rodeo Drive Saint-Petersburg</t>
  </si>
  <si>
    <t>Ресторан Родео Драйв Cанкт-Петербург</t>
  </si>
  <si>
    <t>195274, Россия, Санкт-Петербург, проспект Культуры, 1</t>
  </si>
  <si>
    <t>403047@myrest.team</t>
  </si>
  <si>
    <t>Prince Moscow</t>
  </si>
  <si>
    <t>Ресторан Принц Москва</t>
  </si>
  <si>
    <t>117574, Россия, Москва, ул. Профсоюзная, 129 а</t>
  </si>
  <si>
    <t>planinvest6@mail.ru</t>
  </si>
  <si>
    <t>ООО "Фокс"</t>
  </si>
  <si>
    <t>Ресторан Принц Москв</t>
  </si>
  <si>
    <t>Semya Ufa</t>
  </si>
  <si>
    <t>Ресторан Семья Уфа</t>
  </si>
  <si>
    <t>450059, Россия, Башкортостан республика, Уфа, проспект Октября, 34</t>
  </si>
  <si>
    <t>kfc1@grufa.ru</t>
  </si>
  <si>
    <t>ООО "Глобал Фуд Семья"</t>
  </si>
  <si>
    <t>Raduga Saint-Petersburg</t>
  </si>
  <si>
    <t>Ресторан Радуга Санкт-Петербург</t>
  </si>
  <si>
    <t>196105, Россия, Санкт-Петербург, проспект Космонавтов, 14</t>
  </si>
  <si>
    <t>403050@myrest.team</t>
  </si>
  <si>
    <t>Continent (Nord) Saint-Petersburg</t>
  </si>
  <si>
    <t>Ресторан Континент (Норд) Санкт-Петербург</t>
  </si>
  <si>
    <t>197227, Россия, Санкт-Петербург, Байконурская, 14</t>
  </si>
  <si>
    <t>403021@myrest.team</t>
  </si>
  <si>
    <t>Evropa Saratov</t>
  </si>
  <si>
    <t>Ресторан Европа Саратов</t>
  </si>
  <si>
    <t>410000, Россия, Саратовская область, Саратов, проспект Кирова, 17</t>
  </si>
  <si>
    <t>europe@kfc-saratov.ru</t>
  </si>
  <si>
    <t>Ресторан Европа Сара</t>
  </si>
  <si>
    <t>KFC Elektrostal Moscow</t>
  </si>
  <si>
    <t>KFC Электросталь Москва</t>
  </si>
  <si>
    <t>144006, Россия, Московская область, Электросталь, проспект Ленина, 0\10, ТРЦ "Эльград"</t>
  </si>
  <si>
    <t>kfc-elektrostal@yandex.ru</t>
  </si>
  <si>
    <t>Narva Saint-Petersburg</t>
  </si>
  <si>
    <t>Ресторан Нарва Санкт-Петербург</t>
  </si>
  <si>
    <t>198216, Россия, Санкт-Петербург, Ленинский проспект, 128к2</t>
  </si>
  <si>
    <t>403053@myrest.team</t>
  </si>
  <si>
    <t>Vasileostrovsky Saint-Petersburg</t>
  </si>
  <si>
    <t>Ресторан Василеостровский Санкт-Петербург</t>
  </si>
  <si>
    <t>199004, Россия, Санкт-Петербург, Средний проспект Васильевского острова, 36/40</t>
  </si>
  <si>
    <t>403054@myrest.team</t>
  </si>
  <si>
    <t>KFC Bolshaya Sadovaya Rostov-on-Don</t>
  </si>
  <si>
    <t>KFC Большая Садовая Ростов-на-Дону</t>
  </si>
  <si>
    <t>344002, Россия, Ростовская область, Ростов-на-Дону, Большая Садовая, 69/47</t>
  </si>
  <si>
    <t>kfc.sadovaya@yummy-group.ru</t>
  </si>
  <si>
    <t>Talisman Izhevsk</t>
  </si>
  <si>
    <t>Ресторан Талисман Ижевск</t>
  </si>
  <si>
    <t>426011, Россия, Удмуртская республика, Ижевск, Холмогорова, 11</t>
  </si>
  <si>
    <t>kfc3@restudm.ru</t>
  </si>
  <si>
    <t>Ресторан Талисман Иж</t>
  </si>
  <si>
    <t>KFC Rechnoy vokzal Moscow</t>
  </si>
  <si>
    <t>KFC Речной вокзал Москва</t>
  </si>
  <si>
    <t>125565, Россия, Москва, Фестивальная, 2Б</t>
  </si>
  <si>
    <t>planinvest-4@mail.ru</t>
  </si>
  <si>
    <t>KFC Речной вокзал Мо</t>
  </si>
  <si>
    <t>Gallery Saint-Petersburg</t>
  </si>
  <si>
    <t>Ресторан Галерея Санкт-Петербург</t>
  </si>
  <si>
    <t>191040, Россия, Санкт-Петербург, Лиговский проспект, 30</t>
  </si>
  <si>
    <t>403056@myrest.team</t>
  </si>
  <si>
    <t>Ресторан Галерея Сан</t>
  </si>
  <si>
    <t>Triumph Saratov</t>
  </si>
  <si>
    <t>Ресторан Триумф Саратов</t>
  </si>
  <si>
    <t>410005, Россия, Саратовская область, Саратов, Зарубина, 167</t>
  </si>
  <si>
    <t>triumph@kfc-saratov.ru</t>
  </si>
  <si>
    <t>Ресторан Триумф Сара</t>
  </si>
  <si>
    <t>Leto City Saint-Petersburg</t>
  </si>
  <si>
    <t>Ресторан Лето Сити Санкт-Петербург</t>
  </si>
  <si>
    <t>196240, Россия, Санкт-Петербург, Пулковское шоссе, 25к1</t>
  </si>
  <si>
    <t>403026@myrest.team</t>
  </si>
  <si>
    <t>Piterland Saint-Petersburg</t>
  </si>
  <si>
    <t>Ресторан Питерлэнд Санкт-Петербург</t>
  </si>
  <si>
    <t>197374, Россия, Санкт-Петербург, Приморский проспект, 72</t>
  </si>
  <si>
    <t>403085@myrest.team</t>
  </si>
  <si>
    <t>Citrus Moscow</t>
  </si>
  <si>
    <t>Ресторан Цитрус Москва</t>
  </si>
  <si>
    <t>141411, Россия, Московская область, Химки, Московская, 14A</t>
  </si>
  <si>
    <t>403090@myrest.team</t>
  </si>
  <si>
    <t>KFC Yar Moscow</t>
  </si>
  <si>
    <t>KFC Яр Москва</t>
  </si>
  <si>
    <t>129337, Россия, Москва, Ярославское шоссе, 114</t>
  </si>
  <si>
    <t>kfc_yur@qsr-pro.com</t>
  </si>
  <si>
    <t>ООО "Яр"</t>
  </si>
  <si>
    <t>Mezhdunarodnuy Saint-Petersburg</t>
  </si>
  <si>
    <t>Ресторан Международный Санкт-Петербург</t>
  </si>
  <si>
    <t>192242, Россия, Санкт-Петербург, Белы Куна, 3</t>
  </si>
  <si>
    <t>403096@myrest.team</t>
  </si>
  <si>
    <t>3D Moscow</t>
  </si>
  <si>
    <t>Ресторан 3D Москва</t>
  </si>
  <si>
    <t>109052, Россия, Москва, Нижегородская, 50</t>
  </si>
  <si>
    <t>403091@myrest.team</t>
  </si>
  <si>
    <t>KFC Koltso Kazan</t>
  </si>
  <si>
    <t>KFC Кольцо Казань</t>
  </si>
  <si>
    <t>420107, Россия, Татарстан республика, Казань, Петербургская, 1</t>
  </si>
  <si>
    <t>403094@myrest.team</t>
  </si>
  <si>
    <t>June Moscow</t>
  </si>
  <si>
    <t>Ресторан Июнь Москва</t>
  </si>
  <si>
    <t>141008, Россия, Московская область, Мытищи, Мира, с51</t>
  </si>
  <si>
    <t>403089@myrest.team</t>
  </si>
  <si>
    <t>Obvodnoy Kanal Saint-Petersburg</t>
  </si>
  <si>
    <t>Ресторан Обводный канал Санкт-Петербург</t>
  </si>
  <si>
    <t>192007, Россия, Санкт-Петербург, Лиговский проспект, 153</t>
  </si>
  <si>
    <t>403079@myrest.team</t>
  </si>
  <si>
    <t>Osinovaya rosha Saint-Petersburg</t>
  </si>
  <si>
    <t>Ресторан Осиновая роща Санкт-Петербург</t>
  </si>
  <si>
    <t>194362, Россия, Санкт-Петербург, Выборгское шоссе, 503/1 литера А</t>
  </si>
  <si>
    <t>403078@myrest.team</t>
  </si>
  <si>
    <t>KFC Vegas Moscow</t>
  </si>
  <si>
    <t>KFC Вегас Москва</t>
  </si>
  <si>
    <t>115582, Россия, Москва, МКАД, 24-й километр, 1</t>
  </si>
  <si>
    <t>403076@myrest.team</t>
  </si>
  <si>
    <t>MEGA Ufa</t>
  </si>
  <si>
    <t>Ресторан Мега Уфа</t>
  </si>
  <si>
    <t>450018, Россия, Башкортостан республика, Уфа, Рубежная, 174</t>
  </si>
  <si>
    <t>kfc3@grufa.ru</t>
  </si>
  <si>
    <t>ООО "Глобал Фуд Мега"</t>
  </si>
  <si>
    <t>Cheremushki 2 Moscow</t>
  </si>
  <si>
    <t>Ресторан Черемушки 2 Москва</t>
  </si>
  <si>
    <t>117393, Россия, Москва, Профсоюзная, 56</t>
  </si>
  <si>
    <t>kfc-cheremushki-1003@cityrst.ru</t>
  </si>
  <si>
    <t>Kit Izhevsk</t>
  </si>
  <si>
    <t>Ресторан Кит Ижевск</t>
  </si>
  <si>
    <t>426075, Россия, Удмуртская республика, Ижевск, Ленина, 138</t>
  </si>
  <si>
    <t>kfc4@restudm.ru</t>
  </si>
  <si>
    <t>Solnechny Saratov</t>
  </si>
  <si>
    <t>Ресторан Солнечный Саратов</t>
  </si>
  <si>
    <t>410506, Россия, Саратовская область, Саратов, Вольский тракт, д. 2, ТК "Happy Молл"</t>
  </si>
  <si>
    <t>happy@kfc-saratov.ru</t>
  </si>
  <si>
    <t>Ресторан Солнечный С</t>
  </si>
  <si>
    <t>KFC Spektr Moscow</t>
  </si>
  <si>
    <t>KFC Спектр Москва</t>
  </si>
  <si>
    <t>117574, Россия, Москва, Новоясеневский проспект, 1</t>
  </si>
  <si>
    <t>403083@myrest.team</t>
  </si>
  <si>
    <t>Galle Ufa</t>
  </si>
  <si>
    <t>Ресторан Галле Уфа</t>
  </si>
  <si>
    <t>450005, Россия, Башкортостан республика, Уфа, 50-летия Октября, 32</t>
  </si>
  <si>
    <t>kfc4@grufa.ru</t>
  </si>
  <si>
    <t>ООО "Глобал Фуд Галле"</t>
  </si>
  <si>
    <t>Zolnaya Saint-Petersburg</t>
  </si>
  <si>
    <t>Ресторан Зольная Санкт-Петербург</t>
  </si>
  <si>
    <t>193230, Россия, Санкт-Петербург, ул. Зольная, д. 11, лит. А</t>
  </si>
  <si>
    <t>403080@myrest.team</t>
  </si>
  <si>
    <t>KFC Sedmoe Nebo Nizhny Novgorod</t>
  </si>
  <si>
    <t>KFC Седьмое небо Нижний Новгород</t>
  </si>
  <si>
    <t>603070, Россия, Нижегородская область, Нижний Новгород, Бетанкура, 1</t>
  </si>
  <si>
    <t>403087@myrest.team</t>
  </si>
  <si>
    <t>KFC Gostiniy Dvor Magnitogorsk</t>
  </si>
  <si>
    <t>KFC Гостиный двор Магнитогорск</t>
  </si>
  <si>
    <t>455038, Россия, Челябинская область, Магнитогорск, проспект Карла Маркса, 153</t>
  </si>
  <si>
    <t>kfc12@grufa.ru</t>
  </si>
  <si>
    <t>ООО "Глобал Фуд Гостиный Двор"</t>
  </si>
  <si>
    <t>Leningradskoe Moscow Region</t>
  </si>
  <si>
    <t>Ресторан Ленинградское Московская область</t>
  </si>
  <si>
    <t>141407, Россия, Московская область, Химки, Ленинградское шоссе, 27 A</t>
  </si>
  <si>
    <t>MOLeningradskoe@uni.rest</t>
  </si>
  <si>
    <t>Ресторан Ленинградск</t>
  </si>
  <si>
    <t>Simferopolskoe Moscow Region</t>
  </si>
  <si>
    <t>Ресторан Симферопольское Московская область</t>
  </si>
  <si>
    <t>142143, Россия, Московская область, Подольск, тер. автодорога М-2 Крым, 36-й км, д. 6, стр. 1.</t>
  </si>
  <si>
    <t>MOSimpheropolskoe@uni.rest</t>
  </si>
  <si>
    <t>Ресторан Симферополь</t>
  </si>
  <si>
    <t>VDNH Moscow</t>
  </si>
  <si>
    <t>Ресторан ВДНХ Москва</t>
  </si>
  <si>
    <t>129515, Россия, Москва, 1-я Останкинская, 55</t>
  </si>
  <si>
    <t>MOVDNH@uni.rest</t>
  </si>
  <si>
    <t>Volgogradsky 166 Moscow</t>
  </si>
  <si>
    <t>Ресторан Волгоградский 166 Москва</t>
  </si>
  <si>
    <t>109472, Россия, Москва, Волгоградский проспект, вл166</t>
  </si>
  <si>
    <t>403098@myrest.team</t>
  </si>
  <si>
    <t>Rosich Surgut</t>
  </si>
  <si>
    <t>Ресторан Росич Сургут</t>
  </si>
  <si>
    <t>628402, Россия, Ханты-Мансийский автономный округ - Югра автономный округ, Сургут, Геологическая, 10</t>
  </si>
  <si>
    <t>SURosich@uni.rest</t>
  </si>
  <si>
    <t>Surgut</t>
  </si>
  <si>
    <t>Ресторан Росич Сургу</t>
  </si>
  <si>
    <t>Balashikha Moscow Region</t>
  </si>
  <si>
    <t>Ресторан Балашиха Московская область</t>
  </si>
  <si>
    <t>143903, Россия, Московская область, Балашиха, шоссе Энтузиастов, 6Б</t>
  </si>
  <si>
    <t>MOBPBalashiha@uni.rest</t>
  </si>
  <si>
    <t>Ресторан Балашиха Мо</t>
  </si>
  <si>
    <t>Aviapark Moscow</t>
  </si>
  <si>
    <t>Ресторан Авиапарк Москва</t>
  </si>
  <si>
    <t>125252, Россия, Москва, Ходынский бульвар, 4</t>
  </si>
  <si>
    <t>MOAviaPark@uni.rest</t>
  </si>
  <si>
    <t>Ресторан Авиапарк Мо</t>
  </si>
  <si>
    <t>Lyubertsy Market Moscow Region</t>
  </si>
  <si>
    <t>Ресторан Люберцы Маркет Московская область</t>
  </si>
  <si>
    <t>140000, Россия, Московская область, Люберцы, Инициативная, 13А/7Б</t>
  </si>
  <si>
    <t>MOLubertsyMarket@uni.rest</t>
  </si>
  <si>
    <t>Ресторан Люберцы Мар</t>
  </si>
  <si>
    <t>Kuntsevo Plaza Moscow</t>
  </si>
  <si>
    <t>Ресторан Кунцево Плаза Москва</t>
  </si>
  <si>
    <t>121552, Россия, Москва, Ярцевская, 19</t>
  </si>
  <si>
    <t>MOKuntsevo@uni.rest</t>
  </si>
  <si>
    <t>Ресторан Кунцево Пла</t>
  </si>
  <si>
    <t>Krasnoznamensk Moscow Region</t>
  </si>
  <si>
    <t>Ресторан Краснознаменск Московская область</t>
  </si>
  <si>
    <t>143090, Россия, Московская область, Краснознаменск, Берёзовая аллея, 1/10</t>
  </si>
  <si>
    <t>MOKrasnoznamensk@uni.rest</t>
  </si>
  <si>
    <t>Krasnoznamensk</t>
  </si>
  <si>
    <t>Ресторан Краснознаме</t>
  </si>
  <si>
    <t>Soyuz Surgut</t>
  </si>
  <si>
    <t>Ресторан Союз Сургут</t>
  </si>
  <si>
    <t>628403, Россия, Ханты-Мансийский автономный округ - Югра автономный округ, Сургут, 30 лет Победы, 35</t>
  </si>
  <si>
    <t>SUSouz@uni.rest</t>
  </si>
  <si>
    <t>Europeisky Nizhnevartovsk</t>
  </si>
  <si>
    <t>Ресторан Европейский Нижневартовск</t>
  </si>
  <si>
    <t>628617, Россия, Ханты-Мансийский автономный округ - Югра автономный округ, Нижневартовск, Чапаева, 27</t>
  </si>
  <si>
    <t>NVEvropeyskiy@uni.rest</t>
  </si>
  <si>
    <t>Nizhnevartovsk</t>
  </si>
  <si>
    <t>Severny Nizhnevartovsk</t>
  </si>
  <si>
    <t>Ресторан Северный Нижневартовск</t>
  </si>
  <si>
    <t>628624, Россия, Ханты-Мансийский автономный округ - Югра автономный округ, Нижневартовск, Интернациональная, 73</t>
  </si>
  <si>
    <t>NVSeverniy@uni.rest</t>
  </si>
  <si>
    <t>Ресторан Северный Ни</t>
  </si>
  <si>
    <t>Neftyanikov Nizhnevartovsk</t>
  </si>
  <si>
    <t>Ресторан Нефтяников Нижневартовск</t>
  </si>
  <si>
    <t>628611, Россия, Ханты-Мансийский автономный округ - Югра автономный округ, Нижневартовск, Ленина, 15</t>
  </si>
  <si>
    <t>NVNeftyanikov@uni.rest</t>
  </si>
  <si>
    <t>Ресторан Нефтяников</t>
  </si>
  <si>
    <t>Siyanie Khanty-Mansiysk</t>
  </si>
  <si>
    <t>Ресторан Сияние Ханты-Мансийск</t>
  </si>
  <si>
    <t>628007, Россия, Ханты-Мансийский автономный округ - Югра автономный округ, Ханты-Мансийск, Мира, 45</t>
  </si>
  <si>
    <t>KMSiyanie@uni.rest</t>
  </si>
  <si>
    <t>Hanty-Mansiysk</t>
  </si>
  <si>
    <t>Ресторан Сияние Хант</t>
  </si>
  <si>
    <t>Ugorsky Surgut</t>
  </si>
  <si>
    <t>Ресторан Югорский Сургут</t>
  </si>
  <si>
    <t>628415, Россия, Ханты-Мансийский автономный округ - Югра автономный округ, Сургут, Югорский тракт, 1к2</t>
  </si>
  <si>
    <t>SUUgorskiy@uni.rest</t>
  </si>
  <si>
    <t>Ресторан Югорский Су</t>
  </si>
  <si>
    <t>Troyka Moscow</t>
  </si>
  <si>
    <t>Ресторан Тройка Москва</t>
  </si>
  <si>
    <t>107140, Россия, Москва, Верхняя Красносельская, 3А</t>
  </si>
  <si>
    <t>MOTroyka@uni.rest</t>
  </si>
  <si>
    <t>Ресторан Тройка Моск</t>
  </si>
  <si>
    <t>Orange Nefteyugansk</t>
  </si>
  <si>
    <t>Ресторан Оранж Нефтеюганск</t>
  </si>
  <si>
    <t>628301, Россия, Ханты-Мансийский автономный округ - Югра автономный округ, Нефтеюганск, Нефтяников, 87</t>
  </si>
  <si>
    <t>NUOrange@uni.rest</t>
  </si>
  <si>
    <t>Nefteyugansk</t>
  </si>
  <si>
    <t>Ресторан Оранж Нефте</t>
  </si>
  <si>
    <t>Yugra Mall Nizhnevartovsk</t>
  </si>
  <si>
    <t>Ресторан Югра Молл Нижневартовск</t>
  </si>
  <si>
    <t>628609, Россия, Ханты-Мансийский автономный округ - Югра автономный округ, Нижневартовск, Кузоваткина, 17</t>
  </si>
  <si>
    <t>NVUgraMall@uni.rest</t>
  </si>
  <si>
    <t>Ресторан Югра Молл Н</t>
  </si>
  <si>
    <t>Globus Pushkino Moscow Region</t>
  </si>
  <si>
    <t>Ресторан Глобус Пушкино Московская область</t>
  </si>
  <si>
    <t>141211, Россия, Московская область, Пушкино, Красноармейское шоссе, с90</t>
  </si>
  <si>
    <t>MOPushkino@uni.rest</t>
  </si>
  <si>
    <t>Ресторан Глобус Пушк</t>
  </si>
  <si>
    <t>Slavyanskiy Moscow</t>
  </si>
  <si>
    <t>Ресторан Славянский Москва</t>
  </si>
  <si>
    <t>121170, Россия, Москва, Кутузовский проспект, 57</t>
  </si>
  <si>
    <t>MOSlavyanskiy@uni.rest</t>
  </si>
  <si>
    <t>Ресторан Славянский</t>
  </si>
  <si>
    <t>Magistralnaya Kogalym</t>
  </si>
  <si>
    <t>Ресторан Магистральная Когалым</t>
  </si>
  <si>
    <t>628485, Россия, Ханты-Мансийский автономный округ - Югра автономный округ, Когалым, Дружбы Народов, 60</t>
  </si>
  <si>
    <t>KGMagistralnaya@uni.rest</t>
  </si>
  <si>
    <t>Kogalym</t>
  </si>
  <si>
    <t>Ресторан Магистральн</t>
  </si>
  <si>
    <t>Sovetskaya Shahovskaya Moscow Region</t>
  </si>
  <si>
    <t>Ресторан Советская Шаховская Московская область</t>
  </si>
  <si>
    <t>143700, Россия, Московская область, Шаховский район, пгт Шаховская, 1-я Советская, 30</t>
  </si>
  <si>
    <t>MOShakhovskaya@uni.rest</t>
  </si>
  <si>
    <t>Shakhovskaya</t>
  </si>
  <si>
    <t>Ресторан Советская Ш</t>
  </si>
  <si>
    <t>Piramida Perm</t>
  </si>
  <si>
    <t>Ресторан Пирамида Пермь</t>
  </si>
  <si>
    <t>614068, Россия, Пермский край, Пермь, Крисанова, 12А</t>
  </si>
  <si>
    <t>kfcpir@restudm.ru</t>
  </si>
  <si>
    <t>Ресторан Пирамида Пе</t>
  </si>
  <si>
    <t>Kubinka Moscow Region</t>
  </si>
  <si>
    <t>Ресторан Кубинка Московская область</t>
  </si>
  <si>
    <t>143070, Россия, Московская область, Кубинка, Наро-Фоминское шоссе, 23А</t>
  </si>
  <si>
    <t>MOKubinka@uni.rest</t>
  </si>
  <si>
    <t>Kubinka</t>
  </si>
  <si>
    <t>Ресторан Кубинка Мос</t>
  </si>
  <si>
    <t>Kapitoliy Kashirskoe Moscow</t>
  </si>
  <si>
    <t>Ресторан Капитолий Каширское Москва</t>
  </si>
  <si>
    <t>115582, Россия, Москва, Каширское шоссе, 61к2</t>
  </si>
  <si>
    <t>MOKapitoliy@uni.rest</t>
  </si>
  <si>
    <t>Ресторан Капитолий К</t>
  </si>
  <si>
    <t>Lukhovitsy Moscow Region</t>
  </si>
  <si>
    <t>Ресторан Луховицы Московская область</t>
  </si>
  <si>
    <t>140501, Россия, Московская область, Луховицы, Гагарина, 19</t>
  </si>
  <si>
    <t>MOLukhovitsy@uni.rest</t>
  </si>
  <si>
    <t>Lukhovitsy</t>
  </si>
  <si>
    <t>Ресторан Луховицы Мо</t>
  </si>
  <si>
    <t>Schelkovskaya Moscow</t>
  </si>
  <si>
    <t>Ресторан Щелковская Москва</t>
  </si>
  <si>
    <t>107241, Россия, Москва, Уральская, 1с2</t>
  </si>
  <si>
    <t>planinvest-12@mail.ru</t>
  </si>
  <si>
    <t>Ресторан Щелковская</t>
  </si>
  <si>
    <t>Oazis Plaza Nyagan</t>
  </si>
  <si>
    <t>Ресторан Оазис Плаза Нягань</t>
  </si>
  <si>
    <t>628181, Россия, Ханты-Мансийский автономный округ - Югра автономный округ, Нягань, Ленина, 28</t>
  </si>
  <si>
    <t>NGOasis@uni.rest</t>
  </si>
  <si>
    <t>Nyagan</t>
  </si>
  <si>
    <t>Ресторан Оазис Плаза</t>
  </si>
  <si>
    <t>KFC Mega IKEA Samara</t>
  </si>
  <si>
    <t>KFC МЕГА ИКЕА Самара</t>
  </si>
  <si>
    <t>443028, Россия, Самарская область, Самара, Московское шоссе, 24-й километр, 5</t>
  </si>
  <si>
    <t>KFC0514@irb.rest</t>
  </si>
  <si>
    <t>Samara</t>
  </si>
  <si>
    <t>Topaz Omsk</t>
  </si>
  <si>
    <t>Ресторан Топаз Омск</t>
  </si>
  <si>
    <t>644024, Россия, Омская область, Омск, проспект Карла Маркса, 5А</t>
  </si>
  <si>
    <t>KFC0402@irb.rest</t>
  </si>
  <si>
    <t>KFC Uley Omsk</t>
  </si>
  <si>
    <t>KFC Улей Омск</t>
  </si>
  <si>
    <t>644020, Россия, Омская область, Омск, проспект Карла Маркса, 84</t>
  </si>
  <si>
    <t>KFC0404@irb.rest</t>
  </si>
  <si>
    <t>KFC Krasny Novosibirsk</t>
  </si>
  <si>
    <t>KFC Красный Новосибирск</t>
  </si>
  <si>
    <t>630099, Россия, Новосибирская область, Новосибирск, Красный проспект, 29</t>
  </si>
  <si>
    <t>KFC0352@irb.rest</t>
  </si>
  <si>
    <t>KFC Lepestok Novosibirsk</t>
  </si>
  <si>
    <t>KFC Лепесток Новосибирск</t>
  </si>
  <si>
    <t>630132, Россия, Новосибирская область, Новосибирск, Челюскинцев, 52</t>
  </si>
  <si>
    <t>KFC0354@irb.rest</t>
  </si>
  <si>
    <t>KFC Klin Moscow</t>
  </si>
  <si>
    <t>KFC Клин Москва</t>
  </si>
  <si>
    <t>141601, Россия, Московская область, Клин, Гагарина, 8</t>
  </si>
  <si>
    <t>KFC0036@irb.rest</t>
  </si>
  <si>
    <t>Klin</t>
  </si>
  <si>
    <t>Odintsovo Moscow</t>
  </si>
  <si>
    <t>Ресторан Одинцово Москва</t>
  </si>
  <si>
    <t>143007, Россия, Московская область, Одинцово, Можайское шоссе, 18А</t>
  </si>
  <si>
    <t>KFC0008@irb.rest</t>
  </si>
  <si>
    <t>Odintsovo</t>
  </si>
  <si>
    <t>Krasnogorsk Moscow</t>
  </si>
  <si>
    <t>Ресторан Красногорск Москва</t>
  </si>
  <si>
    <t>143402, Россия, Московская область, Красногорск, МКАД, 66-й километр, Ашан Красногорск</t>
  </si>
  <si>
    <t>KFC0010@irb.rest</t>
  </si>
  <si>
    <t>Krasnogorsk</t>
  </si>
  <si>
    <t>Continent Omsk</t>
  </si>
  <si>
    <t>Ресторан Континент Омск</t>
  </si>
  <si>
    <t>644074, Россия, Омская область, Омск, 70 лет Октября, 25к2</t>
  </si>
  <si>
    <t>KFC0406@irb.rest</t>
  </si>
  <si>
    <t>KFC Lyubertsy Moscow</t>
  </si>
  <si>
    <t>KFC Люберцы Москва</t>
  </si>
  <si>
    <t>140005, Россия, Московская область, Люберцы, Октябрьский проспект, 170/7</t>
  </si>
  <si>
    <t>KFC0012@irb.rest</t>
  </si>
  <si>
    <t>Lublinskaya Moscow</t>
  </si>
  <si>
    <t>Ресторан Люблинская Москва</t>
  </si>
  <si>
    <t>109341, Россия, Москва, Люблинская, 153</t>
  </si>
  <si>
    <t>KFC0014@irb.rest</t>
  </si>
  <si>
    <t>KFC Festival Novosibirsk</t>
  </si>
  <si>
    <t>KFC Фестиваль Новосибирск</t>
  </si>
  <si>
    <t>630078, Россия, Новосибирская область, Новосибирск, площадь Карла Маркса, 2</t>
  </si>
  <si>
    <t>KFC0356@irb.rest</t>
  </si>
  <si>
    <t>Volgogradsky Moscow</t>
  </si>
  <si>
    <t>Ресторан Волгоградский Москва</t>
  </si>
  <si>
    <t>109117, Россия, Москва, Волгоградский проспект, 119А</t>
  </si>
  <si>
    <t>KFC0064@irb.rest</t>
  </si>
  <si>
    <t>Kaskad Omsk</t>
  </si>
  <si>
    <t>Ресторан Каскад Омск</t>
  </si>
  <si>
    <t>644042, Россия, Омская область, Омск, проспект Карла Маркса, 24</t>
  </si>
  <si>
    <t>KFC0410@irb.rest</t>
  </si>
  <si>
    <t>Karacharovo Moscow</t>
  </si>
  <si>
    <t>Ресторан Карачарово Москва</t>
  </si>
  <si>
    <t>109052, Россия, Москва, Рязанский проспект, 2с2</t>
  </si>
  <si>
    <t>KFC0054@irb.rest</t>
  </si>
  <si>
    <t>KFC Marino Moscow</t>
  </si>
  <si>
    <t>KFC Марьино Москва</t>
  </si>
  <si>
    <t>109369, Россия, Москва, Люблинская, 102А</t>
  </si>
  <si>
    <t>KFC0042@irb.rest</t>
  </si>
  <si>
    <t>KFC Mega City Samara</t>
  </si>
  <si>
    <t>KFC МЕГА Сити Самара</t>
  </si>
  <si>
    <t>443011, Россия, Самарская область, Самара, Ново-Садовая, 160 М</t>
  </si>
  <si>
    <t>KFC0502@irb.rest</t>
  </si>
  <si>
    <t>KFC Mega Ekaterinburg</t>
  </si>
  <si>
    <t>KFC МЕГА Екатеринбург</t>
  </si>
  <si>
    <t>620043, Россия, Свердловская область, Екатеринбург, Металлургов, 87</t>
  </si>
  <si>
    <t>KFC0252@irb.rest</t>
  </si>
  <si>
    <t>KFC Rubin Novosibirsk</t>
  </si>
  <si>
    <t>KFC Рубин Новосибирск</t>
  </si>
  <si>
    <t>630087, Россия, Новосибирская область, Новосибирск, проспект Карла Маркса, 24</t>
  </si>
  <si>
    <t>KFC0358@irb.rest</t>
  </si>
  <si>
    <t>KFC TDN Novosibirsk</t>
  </si>
  <si>
    <t>KFC ТДН Новосибирск</t>
  </si>
  <si>
    <t>630004, Россия, Новосибирская область, Новосибирск, Вокзальная магистраль, 1</t>
  </si>
  <si>
    <t>KFC0362@irb.rest</t>
  </si>
  <si>
    <t>KFC Mega Novosibirsk</t>
  </si>
  <si>
    <t>KFC МЕГА Новосибирск</t>
  </si>
  <si>
    <t>630024, Россия, Новосибирская область, Новосибирск, Ватутина, 107</t>
  </si>
  <si>
    <t>KFC0360@irb.rest</t>
  </si>
  <si>
    <t>KFC Royal Park Novosibirsk</t>
  </si>
  <si>
    <t>KFC Роял Парк Новосибирск</t>
  </si>
  <si>
    <t>630049, Россия, Новосибирская область, Новосибирск, Красный проспект, 101</t>
  </si>
  <si>
    <t>KFC0364@irb.rest</t>
  </si>
  <si>
    <t>Planeta Krasnoyarsk</t>
  </si>
  <si>
    <t>Ресторан Планета Красноярск</t>
  </si>
  <si>
    <t>660125, Россия, Красноярский край, Красноярск, 9 Мая, 77</t>
  </si>
  <si>
    <t>KFC0302@irb.rest</t>
  </si>
  <si>
    <t>Ресторан Планета Кра</t>
  </si>
  <si>
    <t>KFC Kosmoport Samara</t>
  </si>
  <si>
    <t>KFC Космопорт Самара</t>
  </si>
  <si>
    <t>443045, Россия, Самарская область, Самара, Дыбенко, 30</t>
  </si>
  <si>
    <t>KFC0506@irb.rest</t>
  </si>
  <si>
    <t>Nagatinskaya Moscow</t>
  </si>
  <si>
    <t>Ресторан Нагатинская Москва</t>
  </si>
  <si>
    <t>117105, Россия, Москва, Варшавское шоссе, 26c5,7,8</t>
  </si>
  <si>
    <t>KFC0156@irb.rest</t>
  </si>
  <si>
    <t>KFC Sibirskiy Mall Novosibirsk</t>
  </si>
  <si>
    <t>KFC Сибирский Молл Новосибирск</t>
  </si>
  <si>
    <t>630112, Россия, Новосибирская область, Новосибирск, Фрунзе, 238</t>
  </si>
  <si>
    <t>KFC0366@irb.rest</t>
  </si>
  <si>
    <t>Metro Mall Omsk</t>
  </si>
  <si>
    <t>Ресторан Метро Молл Омск</t>
  </si>
  <si>
    <t>644123, Россия, Омская область, Омск, 70 лет Октября, 24</t>
  </si>
  <si>
    <t>KFC0412@irb.rest</t>
  </si>
  <si>
    <t>KFC Vokzal Samara</t>
  </si>
  <si>
    <t>KFC ЖД Вокзал Самара</t>
  </si>
  <si>
    <t>443030, Россия, Самарская область, Самара, Спортивная, 3</t>
  </si>
  <si>
    <t>KFC0508@irb.rest</t>
  </si>
  <si>
    <t>Krasnoyarie Krasnoyarsk</t>
  </si>
  <si>
    <t>Ресторан Красноярье Красноярск</t>
  </si>
  <si>
    <t>660095, Россия, Красноярский край, Красноярск, проспект имени Газеты Красноярский Рабочий, 120</t>
  </si>
  <si>
    <t>KFC0304@irb.rest</t>
  </si>
  <si>
    <t>Ресторан Красноярье</t>
  </si>
  <si>
    <t>KFC Park House Tolyatti</t>
  </si>
  <si>
    <t>KFC Парк Хаус Тольятти</t>
  </si>
  <si>
    <t>445004, Россия, Самарская область, Тольятти, Автозаводское шоссе, 6</t>
  </si>
  <si>
    <t>KFC0512@irb.rest</t>
  </si>
  <si>
    <t>Tolliatty</t>
  </si>
  <si>
    <t>Raduga Omsk</t>
  </si>
  <si>
    <t>Ресторан Радуга Омск</t>
  </si>
  <si>
    <t>644122, Россия, Омская область, Омск, Красный Путь, 30/1</t>
  </si>
  <si>
    <t>KFC0414@irb.rest</t>
  </si>
  <si>
    <t>KFC Molot Samara</t>
  </si>
  <si>
    <t>KFC Молот Самара</t>
  </si>
  <si>
    <t>443099, Россия, Самарская область, Самара, Куйбышева, 84</t>
  </si>
  <si>
    <t>KFC0510@irb.rest</t>
  </si>
  <si>
    <t>KFC Apelsin Tyumen</t>
  </si>
  <si>
    <t>KFC Апельсин Тюмень</t>
  </si>
  <si>
    <t>625027, Россия, Тюменская область, Тюмень, 50 лет Октября, 45</t>
  </si>
  <si>
    <t>KFC0602@irb.rest</t>
  </si>
  <si>
    <t>Siyanie Omsk</t>
  </si>
  <si>
    <t>Ресторан Сияние Омск</t>
  </si>
  <si>
    <t>644042, Россия, Омская область, Омск, проспект Карла Маркса, 18к6</t>
  </si>
  <si>
    <t>KFC0416@irb.rest</t>
  </si>
  <si>
    <t>Aura Novosibirsk</t>
  </si>
  <si>
    <t>Ресторан Аура Новосибирск</t>
  </si>
  <si>
    <t>630017, Россия, Новосибирская область, Новосибирск, Военная, 5</t>
  </si>
  <si>
    <t>KFC0368@irb.rest</t>
  </si>
  <si>
    <t>Auchan Mytischi Moscow</t>
  </si>
  <si>
    <t>Ресторан Ашан Мытищи Москва</t>
  </si>
  <si>
    <t>141031, Россия, Московская область, Мытищи, Осташковское шоссе, 1</t>
  </si>
  <si>
    <t>KFC0044@irb.rest</t>
  </si>
  <si>
    <t>KFC Lukashevicha Omsk</t>
  </si>
  <si>
    <t>KFC Лукашевича Омск</t>
  </si>
  <si>
    <t>644106, Россия, Омская область, Омск, Лукашевича, 6 к2</t>
  </si>
  <si>
    <t>KFC0408@irb.rest</t>
  </si>
  <si>
    <t>Megamart Ekaterinburg</t>
  </si>
  <si>
    <t>Ресторан Мегамарт Екатеринбург</t>
  </si>
  <si>
    <t>620073, Россия, Свердловская область, Екатеринбург, Академика Шварца, 1</t>
  </si>
  <si>
    <t>KFC0256@irb.rest</t>
  </si>
  <si>
    <t>Ресторан Мегамарт Ек</t>
  </si>
  <si>
    <t>Radisheva Ekaterinburg</t>
  </si>
  <si>
    <t>Ресторан Радищева Екатеринбург</t>
  </si>
  <si>
    <t>620014, Россия, Свердловская область, Екатеринбург, 8 Марта, 37</t>
  </si>
  <si>
    <t>KFC0254@irb.rest</t>
  </si>
  <si>
    <t>Ресторан Радищева Ек</t>
  </si>
  <si>
    <t>Solnechniy Omsk</t>
  </si>
  <si>
    <t>Ресторан Солнечный Омск</t>
  </si>
  <si>
    <t>644074, Россия, Омская область, Омск, 70 лет Октября, 7</t>
  </si>
  <si>
    <t>KFC0418@irb.rest</t>
  </si>
  <si>
    <t>KFC Bronnitsy Moscow</t>
  </si>
  <si>
    <t>KFC Бронницы Москва</t>
  </si>
  <si>
    <t>140171, Россия, Московская область, Бронницы, Льва Толстого, 9</t>
  </si>
  <si>
    <t>KFC0072@irb.rest</t>
  </si>
  <si>
    <t>Bronnitsy</t>
  </si>
  <si>
    <t>KFC Akvarel Volgograd</t>
  </si>
  <si>
    <t>KFC Акварель Волгоград</t>
  </si>
  <si>
    <t>400062, Россия, Волгоградская область, Волгоград, Университетский проспект, 107</t>
  </si>
  <si>
    <t>KFC0202@irb.rest</t>
  </si>
  <si>
    <t>Volgograd</t>
  </si>
  <si>
    <t>KFC Dachnaya Sherbinka Moscow</t>
  </si>
  <si>
    <t>KFC Дачная Щербинка Москва</t>
  </si>
  <si>
    <t>142172, Россия, Москва, Щербинка, Симферопольское шоссе, 1Ас2</t>
  </si>
  <si>
    <t>KFC0136@irb.rest</t>
  </si>
  <si>
    <t>Shcherbinka</t>
  </si>
  <si>
    <t>KFC Дачная Щербинка</t>
  </si>
  <si>
    <t>KFC Rokossovskogo Volgograd</t>
  </si>
  <si>
    <t>KFC Рокоссовского Волгоград</t>
  </si>
  <si>
    <t>400066, Россия, Волгоградская область, Волгоград, Рокоссовского, 2Д</t>
  </si>
  <si>
    <t>KFC0206@irb.rest</t>
  </si>
  <si>
    <t>KFC TSUM Tyumen</t>
  </si>
  <si>
    <t>KFC ЦУМ Тюмень</t>
  </si>
  <si>
    <t>625000, Россия, Тюменская область, Тюмень, Орджоникидзе, 63А</t>
  </si>
  <si>
    <t>KFC0604@irb.rest</t>
  </si>
  <si>
    <t>Kalina Novosibirsk</t>
  </si>
  <si>
    <t>Ресторан Калина Новосибирск</t>
  </si>
  <si>
    <t>630082, Россия, Новосибирская область, Новосибирск, Дуси Ковальчук, 179/4</t>
  </si>
  <si>
    <t>KFC0372@irb.rest</t>
  </si>
  <si>
    <t>Filion Moscow</t>
  </si>
  <si>
    <t>Ресторан Филион Москва</t>
  </si>
  <si>
    <t>121087, Россия, Москва, Багратионовский проезд, 5</t>
  </si>
  <si>
    <t>KFC0048@irb.rest</t>
  </si>
  <si>
    <t>KFC Rumyantsevo Moscow</t>
  </si>
  <si>
    <t>KFC Румянцево Москва</t>
  </si>
  <si>
    <t>142784, Россия, Москва, д Румянцево, п Московский, Киевское шоссе, 22-й километр, вл4блокБ</t>
  </si>
  <si>
    <t>KFC0134@irb.rest</t>
  </si>
  <si>
    <t>KFC Yupiter Novosibirsk</t>
  </si>
  <si>
    <t>KFC Юпитер Новосибирск</t>
  </si>
  <si>
    <t>630005, Россия, Новосибирская область, Новосибирск, Гоголя, 15</t>
  </si>
  <si>
    <t>KFC0370@irb.rest</t>
  </si>
  <si>
    <t>Shakhterov Krasnoyarsk</t>
  </si>
  <si>
    <t>Ресторан Шахтеров Красноярск</t>
  </si>
  <si>
    <t>660020, Россия, Красноярский край, Красноярск, Шахтёров, 69</t>
  </si>
  <si>
    <t>KFC0308@irb.rest</t>
  </si>
  <si>
    <t>Ресторан Шахтеров Кр</t>
  </si>
  <si>
    <t>KFC Mira Omsk</t>
  </si>
  <si>
    <t>KFC Мира Омск</t>
  </si>
  <si>
    <t>644080, Россия, Омская область, Омск, проспект Мира, 7А</t>
  </si>
  <si>
    <t>KFC0420@irb.rest</t>
  </si>
  <si>
    <t>Otrada Moscow</t>
  </si>
  <si>
    <t>Ресторан Отрада Москва</t>
  </si>
  <si>
    <t>143406, Россия, Московская область, Красногорск, Пятницкое шоссе, 7-й километр, вл. 2</t>
  </si>
  <si>
    <t>KFC0040@irb.rest</t>
  </si>
  <si>
    <t>Otradnoe</t>
  </si>
  <si>
    <t>KFC Globus Tyumen</t>
  </si>
  <si>
    <t>KFC Глобус Тюмень</t>
  </si>
  <si>
    <t>625000, Россия, Тюменская область, Тюмень, Герцена, 94</t>
  </si>
  <si>
    <t>KFC0606@irb.rest</t>
  </si>
  <si>
    <t>KFC Autovokzal Samara</t>
  </si>
  <si>
    <t>KFC Автовокзал Самара</t>
  </si>
  <si>
    <t>443045, Россия, Самарская область, Самара, Авроры, 209</t>
  </si>
  <si>
    <t>KFC0518@irb.rest</t>
  </si>
  <si>
    <t>KFC Ambar Samara</t>
  </si>
  <si>
    <t>KFC Амбар Самара</t>
  </si>
  <si>
    <t>443085, Россия, Самарская область, Самара, Южное шоссе, 5</t>
  </si>
  <si>
    <t>KFC0516@irb.rest</t>
  </si>
  <si>
    <t>KFC Reutov Park Moscow</t>
  </si>
  <si>
    <t>KFC Реутов Парк Москва</t>
  </si>
  <si>
    <t>143969, Россия, Московская область, Реутов, Носовихинское шоссе, 45</t>
  </si>
  <si>
    <t>KFC0060@irb.rest</t>
  </si>
  <si>
    <t>Reutov</t>
  </si>
  <si>
    <t>KFC Krasnaya Ploshad Anapa</t>
  </si>
  <si>
    <t>KFC Красная Площадь Анапа</t>
  </si>
  <si>
    <t>353451, Россия, Краснодарский край, Анапа, Астраханская, 99</t>
  </si>
  <si>
    <t>KFC0942@irb.rest</t>
  </si>
  <si>
    <t>Anapa</t>
  </si>
  <si>
    <t>KFC Olimp Sochi</t>
  </si>
  <si>
    <t>KFC Олимп Сочи</t>
  </si>
  <si>
    <t>354002, Россия, Краснодарский край, Сочи, Транспортная, 28</t>
  </si>
  <si>
    <t>KFC0910@irb.rest</t>
  </si>
  <si>
    <t>Mozaika Moscow</t>
  </si>
  <si>
    <t>Ресторан Мозаика Москва</t>
  </si>
  <si>
    <t>115193, Россия, Москва, 7-я Кожуховская, 9</t>
  </si>
  <si>
    <t>KFC0084@irb.rest</t>
  </si>
  <si>
    <t>KFC Novomall Novosibirsk</t>
  </si>
  <si>
    <t>KFC Новомолл Новосибирск</t>
  </si>
  <si>
    <t>630091, Россия, Новосибирская область, Новосибирск, Гоголя, 13, этаж 3</t>
  </si>
  <si>
    <t>KFC0376@irb.rest</t>
  </si>
  <si>
    <t>KFC Aurora Samara</t>
  </si>
  <si>
    <t>KFC Аврора Самара</t>
  </si>
  <si>
    <t>443070, Россия, Самарская область, Самара, Аэродромная, 47А</t>
  </si>
  <si>
    <t>KFC0520@irb.rest</t>
  </si>
  <si>
    <t>KFC Sun City Novosibirsk</t>
  </si>
  <si>
    <t>KFC Сан Сити Новосибирск</t>
  </si>
  <si>
    <t>630064, Россия, Новосибирская область, Новосибирск, площадь Карла Маркса, 7</t>
  </si>
  <si>
    <t>KFC0374@irb.rest</t>
  </si>
  <si>
    <t>KFC Komsomolets Moscow</t>
  </si>
  <si>
    <t>KFC Комсомолец Москва</t>
  </si>
  <si>
    <t>143408, Россия, Московская область, Красногорск, Ленина, 2</t>
  </si>
  <si>
    <t>KFC0076@irb.rest</t>
  </si>
  <si>
    <t>KFC Vesna Mall Moscow</t>
  </si>
  <si>
    <t>KFC Весна Молл Москва</t>
  </si>
  <si>
    <t>141031, Россия, Московская область, Мытищи, Алтуфьевское шоссе, вл3с1</t>
  </si>
  <si>
    <t>KFC0066@irb.rest</t>
  </si>
  <si>
    <t>KFC Park House Volgograd</t>
  </si>
  <si>
    <t>KFC Парк Хаус Волгоград</t>
  </si>
  <si>
    <t>400137, Россия, Волгоградская область, Волгоград, бульвар 30-летия Победы, 21</t>
  </si>
  <si>
    <t>KFC0210@irb.rest</t>
  </si>
  <si>
    <t>KFC Mamontov Moscow</t>
  </si>
  <si>
    <t>KFC Мамонтов Москва</t>
  </si>
  <si>
    <t>141308, Россия, Московская область, Сергиев Посад, Кооперативная, 4</t>
  </si>
  <si>
    <t>KFC0106@irb.rest</t>
  </si>
  <si>
    <t>KFC Luch Volgograd</t>
  </si>
  <si>
    <t>KFC Луч Волгоград</t>
  </si>
  <si>
    <t>400125, Россия, Волгоградская область, Волгоград, Николая Отрады, 36</t>
  </si>
  <si>
    <t>KFC0204@irb.rest</t>
  </si>
  <si>
    <t>KFC Izumrudny Tomsk</t>
  </si>
  <si>
    <t>KFC Изумрудный Томск</t>
  </si>
  <si>
    <t>634021, Россия, Томская область, Томск, Комсомольский проспект, 13Б</t>
  </si>
  <si>
    <t>KFC0702@irb.rest</t>
  </si>
  <si>
    <t>Tomsk</t>
  </si>
  <si>
    <t>KFC Edelweiss Tomsk</t>
  </si>
  <si>
    <t>KFC Эдельвейс Томск</t>
  </si>
  <si>
    <t>634034, Россия, Томская область, Томск, проспект Ленина, 51А</t>
  </si>
  <si>
    <t>KFC0704@irb.rest</t>
  </si>
  <si>
    <t>KFC Cinema Tolyatti</t>
  </si>
  <si>
    <t>KFC Синема Тольятти</t>
  </si>
  <si>
    <t>445040, Россия, Самарская область, Тольятти, проспект Степана Разина, 23</t>
  </si>
  <si>
    <t>KFC0526@irb.rest</t>
  </si>
  <si>
    <t>Metallurgov Krasnoyarsk</t>
  </si>
  <si>
    <t>Ресторан Металлургов Красноярск</t>
  </si>
  <si>
    <t>660133, Россия, Красноярский край, Красноярск, проспект Металлургов, 69</t>
  </si>
  <si>
    <t>KFC0312@irb.rest</t>
  </si>
  <si>
    <t>Ресторан Металлургов</t>
  </si>
  <si>
    <t>Park House Ekaterinburg</t>
  </si>
  <si>
    <t>Ресторан Парк Хаус Екатеринбург</t>
  </si>
  <si>
    <t>620137, Россия, Свердловская область, Екатеринбург, Сулимова, 50</t>
  </si>
  <si>
    <t>KFC0258@irb.rest</t>
  </si>
  <si>
    <t>Ресторан Парк Хаус Е</t>
  </si>
  <si>
    <t>KFC Serpukhov Moscow</t>
  </si>
  <si>
    <t>KFC Серпухов Москва</t>
  </si>
  <si>
    <t>142204, Россия, Московская область, Серпухов, Московское шоссе, 55</t>
  </si>
  <si>
    <t>KFC0078@irb.rest</t>
  </si>
  <si>
    <t>Serpukhov</t>
  </si>
  <si>
    <t>KFC Komsomall Volgograd</t>
  </si>
  <si>
    <t>KFC КомсоМолл Волгоград</t>
  </si>
  <si>
    <t>400137, Россия, Волгоградская область, Волгоград, Землячки, 110Б</t>
  </si>
  <si>
    <t>KFC0208@irb.rest</t>
  </si>
  <si>
    <t>KFC Vokzal Novokuznetsk</t>
  </si>
  <si>
    <t>KFC Вокзал Новокузнецк</t>
  </si>
  <si>
    <t>654079, Россия, Кемеровская область, Новокузнецк, проспект Курако, 1Б</t>
  </si>
  <si>
    <t>kfc0854@irb.rest</t>
  </si>
  <si>
    <t>Novokuznetsk</t>
  </si>
  <si>
    <t>KFC MEGA Omsk</t>
  </si>
  <si>
    <t>KFC МЕГА Омск</t>
  </si>
  <si>
    <t>644074, Россия, Омская область, Омск, бульвар Архитекторов, 35</t>
  </si>
  <si>
    <t>KFC0422@irb.rest</t>
  </si>
  <si>
    <t>KFC Kapitoliy Posad Moscow</t>
  </si>
  <si>
    <t>KFC Капитолий Посад Москва</t>
  </si>
  <si>
    <t>141301, Россия, Московская область, Сергиев Посад, Новоуглическое шоссе, 85</t>
  </si>
  <si>
    <t>KFC0068@irb.rest</t>
  </si>
  <si>
    <t>KFC Solnyshko Novokuznetsk</t>
  </si>
  <si>
    <t>KFC Солнышко Новокузнецк</t>
  </si>
  <si>
    <t>654007, Россия, Кемеровская область, Новокузнецк, Павловского, 1Б</t>
  </si>
  <si>
    <t>KFC0858@irb.rest</t>
  </si>
  <si>
    <t>KFC Fedino Moscow</t>
  </si>
  <si>
    <t>KFC Федино Москва</t>
  </si>
  <si>
    <t>140209, Россия, Московская область, Воскресенский район, с Федино, Фединская, 1</t>
  </si>
  <si>
    <t>KFC0094@irb.rest</t>
  </si>
  <si>
    <t>Voskresensk</t>
  </si>
  <si>
    <t>KFC Zeleniy park Moscow</t>
  </si>
  <si>
    <t>KFC Зеленый парк Москва</t>
  </si>
  <si>
    <t>141552, Россия, Московская область, Солнечногорский микрорайон, рп Ржавки, 2-й микрорайон, 20</t>
  </si>
  <si>
    <t>KFC0104@irb.rest</t>
  </si>
  <si>
    <t>KFC Зеленый парк Мос</t>
  </si>
  <si>
    <t>KFC Burevestnik Ekaterinburg</t>
  </si>
  <si>
    <t>KFC Буревестник Екатеринбург</t>
  </si>
  <si>
    <t>620102, Россия, Свердловская область, Екатеринбург, Белореченская, 28</t>
  </si>
  <si>
    <t>KFC0260@irb.rest</t>
  </si>
  <si>
    <t>KFC Svobodny Krasnoyarsk</t>
  </si>
  <si>
    <t>KFC Свободный Красноярск</t>
  </si>
  <si>
    <t>660028, Россия, Красноярский край, Красноярск, Телевизорная, 1с4</t>
  </si>
  <si>
    <t>KFC0310@irb.rest</t>
  </si>
  <si>
    <t>KFC Zheleznodorozhny Moscow</t>
  </si>
  <si>
    <t>KFC Железнодорожный Москва</t>
  </si>
  <si>
    <t>143981, Россия, Московская область, Балашиха, Центральная, 102с1</t>
  </si>
  <si>
    <t>KFC0102@irb.rest</t>
  </si>
  <si>
    <t>KFC Железнодорожный</t>
  </si>
  <si>
    <t>Panfilovsky Moscow</t>
  </si>
  <si>
    <t>Ресторан Панфиловский Москва</t>
  </si>
  <si>
    <t>124460, Россия, Москва, Зеленоград, Панфиловский проспект, 6А</t>
  </si>
  <si>
    <t>KFC0082@irb.rest</t>
  </si>
  <si>
    <t>KFC Park House Samara</t>
  </si>
  <si>
    <t>KFC Парк Хаус Самара</t>
  </si>
  <si>
    <t>443111, Россия, Самарская область, Самара, Московское шоссе, 81</t>
  </si>
  <si>
    <t>KFC0522@irb.rest</t>
  </si>
  <si>
    <t>Mari Mall Moscow</t>
  </si>
  <si>
    <t>Ресторан Мари Молл Москва</t>
  </si>
  <si>
    <t>109469, Россия, Москва, Поречная, 10</t>
  </si>
  <si>
    <t>KFC0090@irb.rest</t>
  </si>
  <si>
    <t>KFC Magellan Tyumen</t>
  </si>
  <si>
    <t>KFC Магеллан Тюмень</t>
  </si>
  <si>
    <t>625048, Россия, Тюменская область, Тюмень, 50 лет Октября, 14</t>
  </si>
  <si>
    <t>KFC0608@irb.rest</t>
  </si>
  <si>
    <t>KFC Parus Novokuznetsk</t>
  </si>
  <si>
    <t>KFC Парус Новокузнецк</t>
  </si>
  <si>
    <t>654011, Россия, Кемеровская область, Новокузнецк, проспект Архитекторов, 14А</t>
  </si>
  <si>
    <t>KFC0852@irb.rest</t>
  </si>
  <si>
    <t>KFC Polytekh Tomsk</t>
  </si>
  <si>
    <t>KFC Политех Томск</t>
  </si>
  <si>
    <t>634028, Россия, Томская область, Томск, проспект Ленина, 1В</t>
  </si>
  <si>
    <t>KFC0706@irb.rest</t>
  </si>
  <si>
    <t>KFC Kvartal Domodedovo Moscow</t>
  </si>
  <si>
    <t>KFC Квартал Домодедово Москва</t>
  </si>
  <si>
    <t>142000, Россия, Московская область, Домодедово, Каширское шоссе, 3А</t>
  </si>
  <si>
    <t>KFC0098@irb.rest</t>
  </si>
  <si>
    <t>KFC Zvezda Odintsovo Moscow</t>
  </si>
  <si>
    <t>KFC Звезда Одинцово Москва</t>
  </si>
  <si>
    <t>143005, Россия, Московская область, Одинцово, Говорова, 161</t>
  </si>
  <si>
    <t>KFC0096@irb.rest</t>
  </si>
  <si>
    <t>KFC Schelkovo Moscow</t>
  </si>
  <si>
    <t>KFC Щелково Москва</t>
  </si>
  <si>
    <t>141100, Россия, Московская область, Щёлково, Советская, 52</t>
  </si>
  <si>
    <t>KFC0112@irb.rest</t>
  </si>
  <si>
    <t>KFC Planeta Novokuznetsk</t>
  </si>
  <si>
    <t>KFC Планета Новокузнецк</t>
  </si>
  <si>
    <t>654005, Россия, Кемеровская область, Новокузнецк, ДОЗ, 10А</t>
  </si>
  <si>
    <t>KFC0856@irb.rest</t>
  </si>
  <si>
    <t>KFC Dmitrov Moscow</t>
  </si>
  <si>
    <t>KFC Дмитров Москва</t>
  </si>
  <si>
    <t>141800, Россия, Московская область, Дмитров, Профессиональная, 111А</t>
  </si>
  <si>
    <t>KFC0128@irb.rest</t>
  </si>
  <si>
    <t>Dmitrov</t>
  </si>
  <si>
    <t>KFC Globus Kolomna Moscow</t>
  </si>
  <si>
    <t>KFC Глобус Коломна Москва</t>
  </si>
  <si>
    <t>140407, Россия, Московская область, Коломна, Советская площадь, 8</t>
  </si>
  <si>
    <t>KFC0124@irb.rest</t>
  </si>
  <si>
    <t>Kolomna</t>
  </si>
  <si>
    <t>KFC Mandarin Sochi</t>
  </si>
  <si>
    <t>KFC Мандарин Сочи</t>
  </si>
  <si>
    <t>354340, Россия, Краснодарский край, Сочи, Бестужева, 1/1</t>
  </si>
  <si>
    <t>KFC0904@irb.rest</t>
  </si>
  <si>
    <t>KFC City Plaza Sochi</t>
  </si>
  <si>
    <t>KFC Сити Плаза Сочи</t>
  </si>
  <si>
    <t>354340, Россия, Краснодарский край, Сочи, Кирова, 58</t>
  </si>
  <si>
    <t>KFC0906@irb.rest</t>
  </si>
  <si>
    <t>2 028</t>
  </si>
  <si>
    <t>KFC Novoye Butovo Moscow</t>
  </si>
  <si>
    <t>KFC Новое Бутово Москва</t>
  </si>
  <si>
    <t>117041, Россия, Москва, Чечёрский проезд, 51</t>
  </si>
  <si>
    <t>KFC0122@irb.rest</t>
  </si>
  <si>
    <t>KFC Ostrov Noginsk Moscow</t>
  </si>
  <si>
    <t>KFC Остров Ногинск Москва</t>
  </si>
  <si>
    <t>142400, Россия, Московская область, Ногинск, Соборная, 12</t>
  </si>
  <si>
    <t>KFC0126@irb.rest</t>
  </si>
  <si>
    <t>Noginsk</t>
  </si>
  <si>
    <t>Passage Novorossiysk</t>
  </si>
  <si>
    <t>Ресторан Пассаж Новороссийск</t>
  </si>
  <si>
    <t>353907, Россия, Краснодарский край, Новороссийск, Анапское шоссе, 39А</t>
  </si>
  <si>
    <t>KFC0924@irb.rest</t>
  </si>
  <si>
    <t>Novorossiysk</t>
  </si>
  <si>
    <t>Ресторан Пассаж Ново</t>
  </si>
  <si>
    <t>KFC Chaykovskogo Klin Moscow</t>
  </si>
  <si>
    <t>KFC Чайковского Клин Москва</t>
  </si>
  <si>
    <t>141601, Россия, Московская область, Клин, Чайковского, 70 Б</t>
  </si>
  <si>
    <t>KFC0186@irb.rest</t>
  </si>
  <si>
    <t>KFC Druzhby Khimki Moscow</t>
  </si>
  <si>
    <t>KFC Дружбы Химки Москва</t>
  </si>
  <si>
    <t>141410, Россия, Московская область, Химки, Дружбы, 1А</t>
  </si>
  <si>
    <t>KFC0142@irb.rest</t>
  </si>
  <si>
    <t>Gastronom Ekaterinburg</t>
  </si>
  <si>
    <t>Ресторан Гастроном Екатеринбург</t>
  </si>
  <si>
    <t>620075, Россия, Свердловская область, Екатеринбург, Толмачёва, 16</t>
  </si>
  <si>
    <t>KFC0264@irb.rest</t>
  </si>
  <si>
    <t>Ресторан Гастроном Е</t>
  </si>
  <si>
    <t>Lenta Nizhniy Tagil</t>
  </si>
  <si>
    <t>Ресторан Лента Нижний Тагил</t>
  </si>
  <si>
    <t>622001, Россия, Свердловская область, Нижний Тагил, Свердловское шоссе, 31</t>
  </si>
  <si>
    <t>KFC0822@irb.rest</t>
  </si>
  <si>
    <t>Nizhniy Tagil</t>
  </si>
  <si>
    <t>KFC Trolleynay Novosibirsk</t>
  </si>
  <si>
    <t>KFC Троллейная Новосибирск</t>
  </si>
  <si>
    <t>630107, Россия, Новосибирская область, Новосибирск, Троллейная, 130</t>
  </si>
  <si>
    <t>KFC0384@irb.rest</t>
  </si>
  <si>
    <t>Sevastopolsky Moscow</t>
  </si>
  <si>
    <t>Ресторан Севастопольский Москва</t>
  </si>
  <si>
    <t>117152, Россия, Москва, Севастопольский проспект, 11Е</t>
  </si>
  <si>
    <t>KFC0116@irb.rest</t>
  </si>
  <si>
    <t>KFC Orekhovo-Zuyevo Moscow</t>
  </si>
  <si>
    <t>KFC Орехово-Зуево Москва</t>
  </si>
  <si>
    <t>142600, Россия, Московская область, Орехово-Зуево, Якова Флиера, 4</t>
  </si>
  <si>
    <t>KFC0140@irb.rest</t>
  </si>
  <si>
    <t>KFC Akademicheskiy Ekaterinburg</t>
  </si>
  <si>
    <t>KFC Академический Екатеринбург</t>
  </si>
  <si>
    <t>620016, Россия, Свердловская область, Екатеринбург, Краснолесья, 133</t>
  </si>
  <si>
    <t>KFC0266@irb.rest</t>
  </si>
  <si>
    <t>KFC Borodino Mytischi Moscow</t>
  </si>
  <si>
    <t>KFC Бородино Мытищи Москва</t>
  </si>
  <si>
    <t>141031, Россия, Московская область, гп Мытищи, д Бородино, Осташковское шоссе, 59</t>
  </si>
  <si>
    <t>KFC0146@irb.rest</t>
  </si>
  <si>
    <t>KFC XL Mytischi Moscow</t>
  </si>
  <si>
    <t>KFC XL Мытищи Москва</t>
  </si>
  <si>
    <t>141011, Россия, Московская область, Мытищи, Коммунистическая, 10к1</t>
  </si>
  <si>
    <t>KFC0158@irb.rest</t>
  </si>
  <si>
    <t>KFC Lenta 9 May Krasnoyarsk</t>
  </si>
  <si>
    <t>KFC Лента 9 Мая Красноярск</t>
  </si>
  <si>
    <t>660125, Россия, Красноярский край, Красноярск, 9 Мая, 62</t>
  </si>
  <si>
    <t>KFC0314@irb.rest</t>
  </si>
  <si>
    <t>Krasnaya Ploshad Novorossiysk</t>
  </si>
  <si>
    <t>Ресторан Красная площадь Новороссийск</t>
  </si>
  <si>
    <t>353907, Россия, Краснодарский край, Новороссийск, Анапское шоссе, 2</t>
  </si>
  <si>
    <t>KFC0922@irb.rest</t>
  </si>
  <si>
    <t>Ресторан Красная пло</t>
  </si>
  <si>
    <t>River Mall Moscow</t>
  </si>
  <si>
    <t>Ресторан Ривер Молл Москва</t>
  </si>
  <si>
    <t>115280, Россия, Москва, Автозаводская, 18</t>
  </si>
  <si>
    <t>KFC0148@irb.rest</t>
  </si>
  <si>
    <t>KFC Elektrostal Noginskoye Moscow</t>
  </si>
  <si>
    <t>KFC Электросталь Ногинское Москва</t>
  </si>
  <si>
    <t>144000, Россия, Московская область, Электросталь, Ногинское шоссе, 28</t>
  </si>
  <si>
    <t>KFC0132@irb.rest</t>
  </si>
  <si>
    <t>Mitino Moscow</t>
  </si>
  <si>
    <t>Ресторан Митино Москва</t>
  </si>
  <si>
    <t>125430, Россия, Москва, Митинская, 40</t>
  </si>
  <si>
    <t>KFC0154@irb.rest</t>
  </si>
  <si>
    <t>KFC Shmel Podolsk Moscow</t>
  </si>
  <si>
    <t>KFC Шмель Подольск Москва</t>
  </si>
  <si>
    <t>142111, Россия, Московская область, Подольск, проспект Юных Ленинцев, 61</t>
  </si>
  <si>
    <t>KFC0120@irb.rest</t>
  </si>
  <si>
    <t>Podol’sk</t>
  </si>
  <si>
    <t>KFC VivaLand Samara</t>
  </si>
  <si>
    <t>KFC ВиваЛэнд Самара</t>
  </si>
  <si>
    <t>443077, Россия, Самарская область, Самара, проспект Кирова, 147</t>
  </si>
  <si>
    <t>KFC0524@irb.rest</t>
  </si>
  <si>
    <t>Schukinskaya Moscow</t>
  </si>
  <si>
    <t>Ресторан Щукинская Москва</t>
  </si>
  <si>
    <t>123182, Россия, Москва, Щукинская, 42</t>
  </si>
  <si>
    <t>KFC0150@irb.rest</t>
  </si>
  <si>
    <t>Promenad Novorossiisk</t>
  </si>
  <si>
    <t>Ресторан Променад Новороссийск</t>
  </si>
  <si>
    <t>353900, Россия, Краснодарский край, Новороссийск, набережная Адмирала Серебрякова, 7а</t>
  </si>
  <si>
    <t>KFC0926@irb.rest</t>
  </si>
  <si>
    <t>Ресторан Променад Но</t>
  </si>
  <si>
    <t>Kalita Moscow</t>
  </si>
  <si>
    <t>Ресторан Калита Москва</t>
  </si>
  <si>
    <t>117588, Россия, Москва, Новоясеневский проспект, вл7</t>
  </si>
  <si>
    <t>KFC0152@irb.rest</t>
  </si>
  <si>
    <t>Bolshakova Ekaterinburg</t>
  </si>
  <si>
    <t>Ресторан Большакова Екатеринбург</t>
  </si>
  <si>
    <t>620063, Россия, Свердловская область, Екатеринбург, 8 Марта, 75А</t>
  </si>
  <si>
    <t>KFC0262@irb.rest</t>
  </si>
  <si>
    <t>Ресторан Большакова</t>
  </si>
  <si>
    <t>KFC Koroleva Omsk</t>
  </si>
  <si>
    <t>KFC Королева Омск</t>
  </si>
  <si>
    <t>644100, Россия, Омская область, Омск, проспект Королёва, 1</t>
  </si>
  <si>
    <t>KFC0424@irb.rest</t>
  </si>
  <si>
    <t>KFC Krasnaya Ploshad Tuapse</t>
  </si>
  <si>
    <t>KFC Красная Площадь Туапсе</t>
  </si>
  <si>
    <t>352800, Россия, Краснодарский край, Туапсе, Сочинская, 2</t>
  </si>
  <si>
    <t>KFC0902@irb.rest</t>
  </si>
  <si>
    <t>Tuapse</t>
  </si>
  <si>
    <t>KFC Stantsionnaya Korolev Moscow</t>
  </si>
  <si>
    <t>KFC Станционная Королев Москва</t>
  </si>
  <si>
    <t>141060, Россия, Московская область, Королёв, Станционная площадь, 21</t>
  </si>
  <si>
    <t>KFC0174@irb.rest</t>
  </si>
  <si>
    <t>KFC Станционная Коро</t>
  </si>
  <si>
    <t>KFC Pochtovaya Solnechnogorsk Moscow</t>
  </si>
  <si>
    <t>KFC Почтовая Солнечногорск Москва</t>
  </si>
  <si>
    <t>141503, Россия, Московская область, Солнечногорск, Почтовая, 17/8</t>
  </si>
  <si>
    <t>KFC0170@irb.rest</t>
  </si>
  <si>
    <t>Solnechnogorsk</t>
  </si>
  <si>
    <t>KFC Lenta Energetikov Novosibirsk</t>
  </si>
  <si>
    <t>KFC Лента Энергетиков Новосибирск</t>
  </si>
  <si>
    <t>630108, Россия, Новосибирская область, Новосибирск, проезд Энергетиков, 9</t>
  </si>
  <si>
    <t>KFC0380@irb.rest</t>
  </si>
  <si>
    <t>KFC Andreevka Zelenograd Moscow</t>
  </si>
  <si>
    <t>KFC Андреевка Зеленоград Москва</t>
  </si>
  <si>
    <t>141551, Россия, Московская область, Солнечногорский район, рп Андреевка, Жилинская, 1</t>
  </si>
  <si>
    <t>KFC0032@irb.rest</t>
  </si>
  <si>
    <t>Andreevka</t>
  </si>
  <si>
    <t>KFC Lenta Mira Tomsk</t>
  </si>
  <si>
    <t>KFC Лента Мира Томск</t>
  </si>
  <si>
    <t>634059, Россия, Томская область, Томск, проспект Мира, 30</t>
  </si>
  <si>
    <t>KFC0710@irb.rest</t>
  </si>
  <si>
    <t>KFC Solnechny Ramenskoe Moscow</t>
  </si>
  <si>
    <t>KFC Солнечный Раменское Москва</t>
  </si>
  <si>
    <t>140100, Россия, Московская область, Раменское, Вокзальная, 4Б</t>
  </si>
  <si>
    <t>KFC0168@irb.rest</t>
  </si>
  <si>
    <t>Ramenskoye</t>
  </si>
  <si>
    <t>KFC Polezhaevskaya Moscow</t>
  </si>
  <si>
    <t>KFC Полежаевская Москва</t>
  </si>
  <si>
    <t>123007, Россия, Москва, Хорошёвское шоссе, 27</t>
  </si>
  <si>
    <t>KFC0164@irb.rest</t>
  </si>
  <si>
    <t>KFC Lenta Yastynskaya Krasnoyarsk</t>
  </si>
  <si>
    <t>KFC Лента Ястынская Красноярск</t>
  </si>
  <si>
    <t>660131, Россия, Красноярский край, Красноярск, Ястынская, 19Д</t>
  </si>
  <si>
    <t>KFC0322@irb.rest</t>
  </si>
  <si>
    <t>KFC Sovetskaya Dmitrov Moscow</t>
  </si>
  <si>
    <t>KFC Советская Дмитров Москва</t>
  </si>
  <si>
    <t>141800, Россия, Московская область, Дмитров, Загорская, 22</t>
  </si>
  <si>
    <t>KFC0172@irb.rest</t>
  </si>
  <si>
    <t>KFC Octyabrskaya Kolomna Moscow</t>
  </si>
  <si>
    <t>KFC Октябрьская Коломна Москва</t>
  </si>
  <si>
    <t>140408, Россия, Московская область, Коломна, Октябрьской Революции, 362</t>
  </si>
  <si>
    <t>KFC0162@irb.rest</t>
  </si>
  <si>
    <t>Auchan Proletarsky Moscow</t>
  </si>
  <si>
    <t>Ресторан Ашан Пролетарский Москва</t>
  </si>
  <si>
    <t>115516, Россия, Москва, Пролетарский проспект, вл30</t>
  </si>
  <si>
    <t>KFC0180@irb.rest</t>
  </si>
  <si>
    <t>KFC EDEM Novosibirsk</t>
  </si>
  <si>
    <t>KFC Эдем Новосибирск</t>
  </si>
  <si>
    <t>630128, Россия, Новосибирская область, Новосибирск, Кутателадзе, 4</t>
  </si>
  <si>
    <t>KFC0382@irb.rest</t>
  </si>
  <si>
    <t>Novokryukovskaya Zelenograd Moscow</t>
  </si>
  <si>
    <t>Ресторан Новокрюковская Зеленоград Москва</t>
  </si>
  <si>
    <t>124617, Россия, Москва, Зеленоград, Новокрюковская, 10</t>
  </si>
  <si>
    <t>KFC0192@irb.rest</t>
  </si>
  <si>
    <t>Gorchakova Moscow</t>
  </si>
  <si>
    <t>Ресторан Горчакова Москва</t>
  </si>
  <si>
    <t>117042, Россия, Москва, Горчакова, 11</t>
  </si>
  <si>
    <t>KFC0182@irb.rest</t>
  </si>
  <si>
    <t>Khabarova Moscow</t>
  </si>
  <si>
    <t>Ресторан Хабарова Москва</t>
  </si>
  <si>
    <t>142784, Россия, Москва, Московский, Хабарова, 2</t>
  </si>
  <si>
    <t>KFC0184@irb.rest</t>
  </si>
  <si>
    <t>Benetton Ekaterinburg</t>
  </si>
  <si>
    <t>Ресторан Бенеттон Екатеринбург</t>
  </si>
  <si>
    <t>620014, Россия, Свердловская область, Екатеринбург, проспект Ленина, 24/8</t>
  </si>
  <si>
    <t>KFC0268@irb.rest</t>
  </si>
  <si>
    <t>Ресторан Бенеттон Ек</t>
  </si>
  <si>
    <t>Zapadniy Novorossiysk</t>
  </si>
  <si>
    <t>Ресторан Западный Новороссийск</t>
  </si>
  <si>
    <t>353995, Россия, Краснодарский край, Новороссийск, Анапское шоссе, 93</t>
  </si>
  <si>
    <t>KFC0928@irb.rest</t>
  </si>
  <si>
    <t>Ресторан Западный Но</t>
  </si>
  <si>
    <t>Amundsena Ekaterinburg</t>
  </si>
  <si>
    <t>Ресторан Амундсена Екатеринбург</t>
  </si>
  <si>
    <t>620146, Россия, Свердловская область, Екатеринбург, Амундсена, 62</t>
  </si>
  <si>
    <t>KFC0270@irb.rest</t>
  </si>
  <si>
    <t>Ресторан Амундсена Е</t>
  </si>
  <si>
    <t>KFC Atak Klin Moscow</t>
  </si>
  <si>
    <t>KFC Атак Клин Москва</t>
  </si>
  <si>
    <t>141607, Россия, Московская область, Клин, Карла Маркса, 2А</t>
  </si>
  <si>
    <t>KFC0070@irb.rest</t>
  </si>
  <si>
    <t>KFC Atak Balashikha Moscow</t>
  </si>
  <si>
    <t>KFC Атак Балашиха Москва</t>
  </si>
  <si>
    <t>143900, Россия, Московская область, Балашиха, Третьяка, 8</t>
  </si>
  <si>
    <t>KFC0080@irb.rest</t>
  </si>
  <si>
    <t>KFC Атак Балашиха Мо</t>
  </si>
  <si>
    <t>KFC Gorki Sochi</t>
  </si>
  <si>
    <t>KFC Горки Сочи</t>
  </si>
  <si>
    <t>354392, Россия, Краснодарский край, с Эстосадок, Горная Карусель, 3</t>
  </si>
  <si>
    <t>KFC0912@irb.rest</t>
  </si>
  <si>
    <t>KFC Raduga Park Ekaterinburg</t>
  </si>
  <si>
    <t>KFC Радуга Парк Екатеринбург</t>
  </si>
  <si>
    <t>620043, Россия, Свердловская область, Екатеринбург, Репина, 94</t>
  </si>
  <si>
    <t>KFC0272@irb.rest</t>
  </si>
  <si>
    <t>KFC Khotkovo Moscow</t>
  </si>
  <si>
    <t>KFC Хотьково Москва</t>
  </si>
  <si>
    <t>141370, Россия, Московская область, Хотьково, 1-я Больничная, 12</t>
  </si>
  <si>
    <t>KFC0092@irb.rest</t>
  </si>
  <si>
    <t>Khotkovo</t>
  </si>
  <si>
    <t>KFC GoodOk Samara</t>
  </si>
  <si>
    <t>KFC ГудОк Самара</t>
  </si>
  <si>
    <t>443030, Россия, Самарская область, Самара, Красноармейская, 131</t>
  </si>
  <si>
    <t>KFC0528@irb.rest</t>
  </si>
  <si>
    <t>Sovhoznaya Moscow</t>
  </si>
  <si>
    <t>Ресторан Совхозная Москва</t>
  </si>
  <si>
    <t>109386, Россия, Москва, Совхозная, 39</t>
  </si>
  <si>
    <t>KFC0118@irb.rest</t>
  </si>
  <si>
    <t>KFC Ideya Balashikha Moscow</t>
  </si>
  <si>
    <t>KFC Идея Балашиха Москва</t>
  </si>
  <si>
    <t>143916, Россия, Московская область, Балашиха, микрорайон ЦОВБ, 20</t>
  </si>
  <si>
    <t>KFC0196@irb.rest</t>
  </si>
  <si>
    <t>KFC Идея Балашиха Мо</t>
  </si>
  <si>
    <t>KFC Zhemchuzhina Tobolsk</t>
  </si>
  <si>
    <t>KFC Жемчужина Тобольск</t>
  </si>
  <si>
    <t>626157, Россия, Тюменская область, Тобольск, 7-й микрорайон, 30</t>
  </si>
  <si>
    <t>KFC0812@irb.rest</t>
  </si>
  <si>
    <t>Tobolsk</t>
  </si>
  <si>
    <t>KFC Ermolino Moscow</t>
  </si>
  <si>
    <t>KFC Ермолино Москва</t>
  </si>
  <si>
    <t>141863, Россия, Московская область, Дмитровский район, Ермолино, Центральная ул., 40, стр. 1</t>
  </si>
  <si>
    <t>KFC0982@irb.rest</t>
  </si>
  <si>
    <t>Ermolino</t>
  </si>
  <si>
    <t>KFC Nekrasova Balashikha Moscow</t>
  </si>
  <si>
    <t>KFC Некрасова Балашиха Москва</t>
  </si>
  <si>
    <t>143900, Россия, Московская область, Балашиха, шоссе Энтузиастов, 66А</t>
  </si>
  <si>
    <t>KFC0992@irb.rest</t>
  </si>
  <si>
    <t>Lenta Tsemdolina Novorossiisk</t>
  </si>
  <si>
    <t>Ресторан Лента Цемдолина Новороссийск</t>
  </si>
  <si>
    <t>353960, Россия, Краснодарский край, Новороссийск, Ленина, 7Ж</t>
  </si>
  <si>
    <t>KFC0930@irb.rest</t>
  </si>
  <si>
    <t>Ресторан Лента Цемдо</t>
  </si>
  <si>
    <t>KFC Likino-Dulyovo Moscow</t>
  </si>
  <si>
    <t>KFC Ликино-Дулево Москва</t>
  </si>
  <si>
    <t>142670, Россия, Московская область, Ликино-Дулёво, Ленина, 4/1</t>
  </si>
  <si>
    <t>KFC0990@irb.rest</t>
  </si>
  <si>
    <t>Likino-Dulyovo</t>
  </si>
  <si>
    <t>KFC Golitsyno Moscow</t>
  </si>
  <si>
    <t>KFC Голицыно Москва</t>
  </si>
  <si>
    <t>143040, Россия, Московская область, Голицыно, Привокзальная площадь, 5</t>
  </si>
  <si>
    <t>KFC0176@irb.rest</t>
  </si>
  <si>
    <t>Golitsyno</t>
  </si>
  <si>
    <t>KFC Lenta Istra Moscow</t>
  </si>
  <si>
    <t>KFC Лента Истра Москва</t>
  </si>
  <si>
    <t>143500, Россия, Московская область, Истра, Московская, 61</t>
  </si>
  <si>
    <t>KFC0988@irb.rest</t>
  </si>
  <si>
    <t>KFC Karat Reutov Moscow</t>
  </si>
  <si>
    <t>KFC Карат Реутов Москва</t>
  </si>
  <si>
    <t>143964, Россия, Московская область, Реутов, Ленина, 1А</t>
  </si>
  <si>
    <t>KFC0986@irb.rest</t>
  </si>
  <si>
    <t>KFC Kemp Schelkovo Moscow</t>
  </si>
  <si>
    <t>KFC Кэмп Щелково Москва</t>
  </si>
  <si>
    <t>141100, Россия, Московская область, Щёлково, Пролетарский проспект, 10</t>
  </si>
  <si>
    <t>KFC0980@irb.rest</t>
  </si>
  <si>
    <t>KFC Lenta 70 let Omsk</t>
  </si>
  <si>
    <t>KFC Лента 70 лет Омск</t>
  </si>
  <si>
    <t>644074, Россия, Омская область, Омск, 70 лет Октября, 25литЛ</t>
  </si>
  <si>
    <t>KFC0426@irb.rest</t>
  </si>
  <si>
    <t>KFC Golden park Novosibirsk</t>
  </si>
  <si>
    <t>KFC Голден парк Новосибирск</t>
  </si>
  <si>
    <t>630129, Россия, Новосибирская область, Новосибирск, Курчатова, 1</t>
  </si>
  <si>
    <t>KFC0388@irb.rest</t>
  </si>
  <si>
    <t>Greenwich Ekaterinburg</t>
  </si>
  <si>
    <t>Ресторан Гринвич Екатеринбург</t>
  </si>
  <si>
    <t>620014, Россия, Свердловская область, Екатеринбург, 8 Марта, 46</t>
  </si>
  <si>
    <t>KFC0274@irb.rest</t>
  </si>
  <si>
    <t>Ресторан Гринвич Ека</t>
  </si>
  <si>
    <t>KFC Kolontsova Mytishchi Moscow</t>
  </si>
  <si>
    <t>KFC Колонцова Мытищи Москва</t>
  </si>
  <si>
    <t>141009, Россия, Московская область, Мытищи, Колонцова, 5</t>
  </si>
  <si>
    <t>KFC0976@irb.rest</t>
  </si>
  <si>
    <t>KFC Ruza Moscow</t>
  </si>
  <si>
    <t>KFC Руза Москва</t>
  </si>
  <si>
    <t>143103, Россия, Московская область, Руза, микрорайон Северное Сияние, 12</t>
  </si>
  <si>
    <t>KFC0194@irb.rest</t>
  </si>
  <si>
    <t>Ruza</t>
  </si>
  <si>
    <t>KFC Lenta Melnikayte Tyumen</t>
  </si>
  <si>
    <t>KFC Лента Мельникайте Тюмень</t>
  </si>
  <si>
    <t>625007, Россия, Тюменская область, Тюмень, Мельникайте, 139</t>
  </si>
  <si>
    <t>KFC0612@irb.rest</t>
  </si>
  <si>
    <t>KFC Lenta Znamenskogo Tobolsk</t>
  </si>
  <si>
    <t>KFC Лента Знаменского Тобольск</t>
  </si>
  <si>
    <t>626150, Россия, Тюменская область, Тобольск, 15-й микрорайон, 21</t>
  </si>
  <si>
    <t>KFC0814@irb.rest</t>
  </si>
  <si>
    <t>KFC Gigant Russkaya Novosibirsk</t>
  </si>
  <si>
    <t>KFC Гигант Русская Новосибирск</t>
  </si>
  <si>
    <t>630058, Россия, Новосибирская область, Новосибирск, Бердское шоссе, 277</t>
  </si>
  <si>
    <t>KFC0386@irb.rest</t>
  </si>
  <si>
    <t>KFC Buninskaya Moscow</t>
  </si>
  <si>
    <t>KFC Бунинская Москва</t>
  </si>
  <si>
    <t>117042, Россия, Москва, Бунинская аллея, 7</t>
  </si>
  <si>
    <t>KFC0160@irb.rest</t>
  </si>
  <si>
    <t>Zeleniy Krasnoyarsk</t>
  </si>
  <si>
    <t>Ресторан Зеленый Красноярск</t>
  </si>
  <si>
    <t>660043, Россия, Красноярский край, Красноярск, Мужества, 10</t>
  </si>
  <si>
    <t>KFC0316@irb.rest</t>
  </si>
  <si>
    <t>Ресторан Зеленый Кра</t>
  </si>
  <si>
    <t>Zhulebino Moscow</t>
  </si>
  <si>
    <t>Ресторан Жулебино Москва</t>
  </si>
  <si>
    <t>109156, Россия, Москва, Авиаконструктора Миля, вл7</t>
  </si>
  <si>
    <t>KFC0984@irb.rest</t>
  </si>
  <si>
    <t>KFC Solnechniy Mall Tyumen</t>
  </si>
  <si>
    <t>KFC Солнечный Молл Тюмень</t>
  </si>
  <si>
    <t>625016, Россия, Тюменская область, Тюмень, Пермякова, 50Б</t>
  </si>
  <si>
    <t>KFC0610@irb.rest</t>
  </si>
  <si>
    <t>KFC Severniy Berdsk</t>
  </si>
  <si>
    <t>KFC Северный Бердск</t>
  </si>
  <si>
    <t>633011, Россия, Новосибирская область, Бердск, Северный микрорайон, 20в</t>
  </si>
  <si>
    <t>KFC0378@irb.rest</t>
  </si>
  <si>
    <t>Berdsk</t>
  </si>
  <si>
    <t>Kalinina Krasnoyarsk</t>
  </si>
  <si>
    <t>Ресторан Калинина Красноярск</t>
  </si>
  <si>
    <t>660061, Россия, Красноярский край, Красноярск, Калинина, 82</t>
  </si>
  <si>
    <t>KFC0428@irb.rest</t>
  </si>
  <si>
    <t>Ресторан Калинина Кр</t>
  </si>
  <si>
    <t>KFC Sakramento Balashikha Moscow</t>
  </si>
  <si>
    <t>KFC Сакраменто Балашиха Москва</t>
  </si>
  <si>
    <t>660133, Россия, Московская область, Балашиха, Владимирская, вл. 112, стр. 1</t>
  </si>
  <si>
    <t>KFC0178@irb.rest</t>
  </si>
  <si>
    <t>KFC Сакраменто Балаш</t>
  </si>
  <si>
    <t>KFC Sovetskaya Novokuznetsk</t>
  </si>
  <si>
    <t>KFC Советская Новокузнецк</t>
  </si>
  <si>
    <t>654015, Россия, Кемеровская область, Новокузнецк, Достоевского, 2</t>
  </si>
  <si>
    <t>KFC0862@irb.rest</t>
  </si>
  <si>
    <t>KFC Skhodnya Leningradskoe Moscow</t>
  </si>
  <si>
    <t>KFC Сходня Ленинградское Москва</t>
  </si>
  <si>
    <t>141580, Россия, Московская область, д Чёрная грязь, деревня Черная Грязь, 42м</t>
  </si>
  <si>
    <t>KFC0956@irb.rest</t>
  </si>
  <si>
    <t>Chernaya Gryaz</t>
  </si>
  <si>
    <t>KFC Сходня Ленинград</t>
  </si>
  <si>
    <t>KFC Omega Ekaterinburg</t>
  </si>
  <si>
    <t>KFC Омега Екатеринбург</t>
  </si>
  <si>
    <t>620012, Россия, Свердловская область, Екатеринбург, проспект Космонавтов, 41</t>
  </si>
  <si>
    <t>KFC0276@irb.rest</t>
  </si>
  <si>
    <t>Nash Borovskoe Moscow</t>
  </si>
  <si>
    <t>Ресторан Наш Боровское Москва</t>
  </si>
  <si>
    <t>109145, Россия, Москва, МКАД, 47-й километр, с20</t>
  </si>
  <si>
    <t>KFC0144@irb.rest</t>
  </si>
  <si>
    <t>Arfa Moscow</t>
  </si>
  <si>
    <t>Ресторан Арфа Москва</t>
  </si>
  <si>
    <t>125481, Россия, Москва, МКАД, 74-й километр, вл4с1</t>
  </si>
  <si>
    <t>KFC0970@irb.rest</t>
  </si>
  <si>
    <t>KFC Aero Hall Tolyatti</t>
  </si>
  <si>
    <t>KFC Аэро Холл Тольятти</t>
  </si>
  <si>
    <t>445054, Россия, Самарская область, Тольятти, Баныкина, 74</t>
  </si>
  <si>
    <t>KFC0534@irb.rest</t>
  </si>
  <si>
    <t>KFC Retail park Novokuznetsk</t>
  </si>
  <si>
    <t>KFC Ритейл парк Новокузнецк</t>
  </si>
  <si>
    <t>111111, Россия, Кемеровская область, Новокузнецк, Хлебозаводская, здание №25</t>
  </si>
  <si>
    <t>KFC0860@irb.rest</t>
  </si>
  <si>
    <t>KFC Konfityur Dolgoprudny Moscow</t>
  </si>
  <si>
    <t>KFC Конфитюр Долгопрудный Москва</t>
  </si>
  <si>
    <t>141720, Россия, Московская область, Долгопрудный, Лихачёвский проспект, 64</t>
  </si>
  <si>
    <t>KFC0028@irb.rest</t>
  </si>
  <si>
    <t>Dolgoprudny</t>
  </si>
  <si>
    <t>KFC Melodiya Aprelevka Moscow</t>
  </si>
  <si>
    <t>KFC Мелодия Апрелевка Москва</t>
  </si>
  <si>
    <t>143360, Россия, Московская область, Апрелевка, Августовская, 14</t>
  </si>
  <si>
    <t>KFC0188@irb.rest</t>
  </si>
  <si>
    <t>KFC Staraya Kupavna Moscow</t>
  </si>
  <si>
    <t>KFC Старая Купавна Москва</t>
  </si>
  <si>
    <t>142450, Россия, Московская область, Старая Купавна, Кирова, 19</t>
  </si>
  <si>
    <t>KFC0190@irb.rest</t>
  </si>
  <si>
    <t>Staraya Kupavna</t>
  </si>
  <si>
    <t>KFC Lenta Sverdlovskaya Krasnoyarsk</t>
  </si>
  <si>
    <t>KFC Лента Свердловская Красноярск</t>
  </si>
  <si>
    <t>660006, Россия, Красноярский край, Красноярск, Свердловская, 73</t>
  </si>
  <si>
    <t>KFC0326@irb.rest</t>
  </si>
  <si>
    <t>KFC Golutvin Moscow</t>
  </si>
  <si>
    <t>KFC Голутвин Москва</t>
  </si>
  <si>
    <t>140408, Россия, Московская область, Коломна, Октябрьской Революции, 345</t>
  </si>
  <si>
    <t>KFC0972@irb.rest</t>
  </si>
  <si>
    <t>Lenta Troitsk Moscow</t>
  </si>
  <si>
    <t>Ресторан Лента Троицк Москва</t>
  </si>
  <si>
    <t>108841, Россия, Московская область, Троицк, Троицк, Калужское шоссе, 42-й километр, 6</t>
  </si>
  <si>
    <t>KFC0968@irb.rest</t>
  </si>
  <si>
    <t>Troitsk</t>
  </si>
  <si>
    <t>KFC Moskovsky Samara</t>
  </si>
  <si>
    <t>KFC Московский Самара</t>
  </si>
  <si>
    <t>443072, Россия, Самарская область, Самара, Московское шоссе, 18-й километр, 25А</t>
  </si>
  <si>
    <t>KFC0504@irb.rest</t>
  </si>
  <si>
    <t>Solnechniy Krasnoyarsk</t>
  </si>
  <si>
    <t>Ресторан Солнечный Красноярск</t>
  </si>
  <si>
    <t>660125, Россия, Красноярский край, Красноярск, проспект 60 лет образования СССР, 24а</t>
  </si>
  <si>
    <t>KFC0332@irb.rest</t>
  </si>
  <si>
    <t>Ресторан Солнечный К</t>
  </si>
  <si>
    <t>Moskovskaya Ekaterinburg</t>
  </si>
  <si>
    <t>Ресторан Московская Екатеринбург</t>
  </si>
  <si>
    <t>620144, Россия, Свердловская область, Екатеринбург, Московская, 281</t>
  </si>
  <si>
    <t>KFC0278@irb.rest</t>
  </si>
  <si>
    <t>Ресторан Московская</t>
  </si>
  <si>
    <t>KFC El Rio Samara</t>
  </si>
  <si>
    <t>KFC Эль Рио Самара</t>
  </si>
  <si>
    <t>443095, Россия, Самарская область, Самара, Московское шоссе, 205</t>
  </si>
  <si>
    <t>KFC0532@irb.rest</t>
  </si>
  <si>
    <t>Komsomolsky Krasnoyarsk</t>
  </si>
  <si>
    <t>Ресторан Комсомольский Красноярск</t>
  </si>
  <si>
    <t>660118, Россия, Красноярский край, Красноярск, Комсомольский проспект, 18</t>
  </si>
  <si>
    <t>KFC0318@irb.rest</t>
  </si>
  <si>
    <t>KFC Karnaval Chekhov Moscow</t>
  </si>
  <si>
    <t>KFC Карнавал Чехов Москва</t>
  </si>
  <si>
    <t>142300, Россия, Московская область, Чехов, Московская, 96</t>
  </si>
  <si>
    <t>KFC0958@irb.rest</t>
  </si>
  <si>
    <t>Chekhov</t>
  </si>
  <si>
    <t>KFC Berezovaya Novosibirsk</t>
  </si>
  <si>
    <t>KFC Березовая Новосибирск</t>
  </si>
  <si>
    <t>630112, Россия, Новосибирская область, Новосибирск, проспект Дзержинского, 2/2</t>
  </si>
  <si>
    <t>KFC0392@irb.rest</t>
  </si>
  <si>
    <t>KFC Krepostnaya Anapa</t>
  </si>
  <si>
    <t>KFC Крепостная Анапа</t>
  </si>
  <si>
    <t>353440, Россия, Краснодарский край, Анапа, Крепостная, 72</t>
  </si>
  <si>
    <t>KFC0944@irb.rest</t>
  </si>
  <si>
    <t>KFC Europa City Volgograd</t>
  </si>
  <si>
    <t>KFC Европа Сити Волгоград</t>
  </si>
  <si>
    <t>400005, Россия, Волгоградская область, Волгоград, проспект имени В.И. Ленина, 54Б</t>
  </si>
  <si>
    <t>KFC0212@irb.rest</t>
  </si>
  <si>
    <t>KFC Gorkogo Sochi</t>
  </si>
  <si>
    <t>KFC Горького Сочи</t>
  </si>
  <si>
    <t>354000, Россия, Краснодарский край, Сочи, Горького, 77</t>
  </si>
  <si>
    <t>KFC0908@irb.rest</t>
  </si>
  <si>
    <t>KFC Lazarevskoye Sochi</t>
  </si>
  <si>
    <t>KFC Лазаревское Сочи</t>
  </si>
  <si>
    <t>354200, Россия, Краснодарский край, Лазаревское, Победы, 1 А</t>
  </si>
  <si>
    <t>KFC0916@irb.rest</t>
  </si>
  <si>
    <t>KFC Voskresenskiy Naro-Fominsk Moscow</t>
  </si>
  <si>
    <t>KFC Воскресенский Наро-Фоминск Москва</t>
  </si>
  <si>
    <t>143300, Россия, Московская область, Наро-Фоминск, площадь Свободы, 2 к1</t>
  </si>
  <si>
    <t>KFC0998@irb.rest</t>
  </si>
  <si>
    <t>Naro-Fominsk</t>
  </si>
  <si>
    <t>KFC Obukhovo Moscow</t>
  </si>
  <si>
    <t>KFC Обухово Москва</t>
  </si>
  <si>
    <t>142440, Россия, Московская область, пгт Обухово, Молодёжная, 5а</t>
  </si>
  <si>
    <t>KFC0024@irb.rest</t>
  </si>
  <si>
    <t>Obukhovo</t>
  </si>
  <si>
    <t>Salarevo Moscow</t>
  </si>
  <si>
    <t>Ресторан Саларьево Москва</t>
  </si>
  <si>
    <t>119297, Россия, Москва, Киевское шоссе, 23 км., д. 1</t>
  </si>
  <si>
    <t>KFC0966@irb.rest</t>
  </si>
  <si>
    <t>KFC Galereya Vidnoe Moscow</t>
  </si>
  <si>
    <t>KFC Галерея Видное Москва</t>
  </si>
  <si>
    <t>142703, Россия, Московская область, Видное, ул. Олимпийская, 6, корпус 1</t>
  </si>
  <si>
    <t>KFC0016@irb.rest</t>
  </si>
  <si>
    <t>Vidnoye</t>
  </si>
  <si>
    <t>KFC Melodiya Sochi</t>
  </si>
  <si>
    <t>KFC Мелодия Сочи</t>
  </si>
  <si>
    <t>354000, Россия, Краснодарский край, Сочи, Курортный проспект, 16/1</t>
  </si>
  <si>
    <t>KFC0914@irb.rest</t>
  </si>
  <si>
    <t>KFC Pushkino Park Moscow</t>
  </si>
  <si>
    <t>KFC Пушкино парк Москва</t>
  </si>
  <si>
    <t>141211, Россия, Московская область, Пушкино, 
 Красноармейское ш., с104</t>
  </si>
  <si>
    <t>KFC0940@irb.rest</t>
  </si>
  <si>
    <t>KFC Pavlovskiy Posad Moscow</t>
  </si>
  <si>
    <t>KFC Павловский посад Москва</t>
  </si>
  <si>
    <t>142500, Россия, Московская область, Павловский посад, Привокзальная, 22</t>
  </si>
  <si>
    <t>KFC0994@irb.rest</t>
  </si>
  <si>
    <t>Pavlovsky Posad</t>
  </si>
  <si>
    <t>KFC Kolumb Tyumen</t>
  </si>
  <si>
    <t>KFC Колумб Тюмень</t>
  </si>
  <si>
    <t>625008, Россия, Тюменская область, Тюмень, Московский тракт, 118</t>
  </si>
  <si>
    <t>KFC0614@irb.rest</t>
  </si>
  <si>
    <t>Okey Sibirskiy Krasnoyarsk</t>
  </si>
  <si>
    <t>Ресторан Окей Сибирский Красноярск</t>
  </si>
  <si>
    <t>660068, Россия, Красноярский край, Красноярск, Сибирский переулок, 5А</t>
  </si>
  <si>
    <t>KFC0328@irb.rest</t>
  </si>
  <si>
    <t>Ресторан Окей Сибирс</t>
  </si>
  <si>
    <t>KFC Lenta Achinsk</t>
  </si>
  <si>
    <t>KFC Лента Ачинск</t>
  </si>
  <si>
    <t>662159, Россия, Красноярский край, Ачинск, Мира, 65</t>
  </si>
  <si>
    <t>KFC0330@irb.rest</t>
  </si>
  <si>
    <t>Achinsk</t>
  </si>
  <si>
    <t>Mega Kotelniki Moscow Region</t>
  </si>
  <si>
    <t>Ресторан МЕГА Котельники Московская область</t>
  </si>
  <si>
    <t>140055, Россия, Московская область, Котельники, 1-й Покровский проезд, 1</t>
  </si>
  <si>
    <t>MOKotelniki@uni.rest</t>
  </si>
  <si>
    <t>Kotelniki</t>
  </si>
  <si>
    <t>Ресторан МЕГА Котель</t>
  </si>
  <si>
    <t>Yugra Nizhnevartovsk</t>
  </si>
  <si>
    <t>Ресторан Югра Нижневартовск</t>
  </si>
  <si>
    <t>628600, Россия, Ханты-Мансийский автономный округ - Югра автономный округ, Нижневартовск, ул. Ленина, №13/П</t>
  </si>
  <si>
    <t>NVUgra@uni.rest</t>
  </si>
  <si>
    <t>Ресторан Югра Нижнев</t>
  </si>
  <si>
    <t>KFC Matritsa Tyumen</t>
  </si>
  <si>
    <t>KFC Матрица Тюмень</t>
  </si>
  <si>
    <t>625013, Россия, Тюменская область, Тюмень, Пермякова, 7б</t>
  </si>
  <si>
    <t>KFC0616@irb.rest</t>
  </si>
  <si>
    <t>KFC Iskra Novosibirsk</t>
  </si>
  <si>
    <t>KFC Искра Новосибирск</t>
  </si>
  <si>
    <t>630079, Россия, Новосибирская область, Новосибирск, Станиславского, 40/1</t>
  </si>
  <si>
    <t>KFC0396@irb.rest</t>
  </si>
  <si>
    <t>KFC Sibiryakov-Gvardeitsev Novosibirsk</t>
  </si>
  <si>
    <t>KFC Сибиряков-Гвардейцев Новосибирск</t>
  </si>
  <si>
    <t>630088, Россия, Новосибирская область, Новосибирск, Сибиряков-Гвардейцев, 62</t>
  </si>
  <si>
    <t>KFC0394@irb.rest</t>
  </si>
  <si>
    <t>KFC Konfityur Zheleznodorozhniy Moscow</t>
  </si>
  <si>
    <t>KFC Конфитюр Железнодорожный Москва</t>
  </si>
  <si>
    <t>143989, Россия, Московская область, Балашиха, Рождественская, 3</t>
  </si>
  <si>
    <t>KFC0455@irb.rest</t>
  </si>
  <si>
    <t>KFC River Novosibirsk</t>
  </si>
  <si>
    <t>KFC Река Новосибирск</t>
  </si>
  <si>
    <t>630009, Россия, Новосибирская область, Новосибирск, Большевистская, 12/1</t>
  </si>
  <si>
    <t>KFC0473@irb.rest</t>
  </si>
  <si>
    <t>KFC Volkovskoe shosse Moscow</t>
  </si>
  <si>
    <t>KFC Волковское шоссе Москва</t>
  </si>
  <si>
    <t>141006, Россия, Московская область, Мытищи, Волковское шоссе, строение №36</t>
  </si>
  <si>
    <t>KFC0018@irb.rest</t>
  </si>
  <si>
    <t>KFC Edelweis Zheleznodorozhniy Moscow</t>
  </si>
  <si>
    <t>KFC Эдельвейс Железнодорожный Москва</t>
  </si>
  <si>
    <t>143987, Россия, Московская область, микрорайон Железнодорожный, Балашиха, ул. Советская, 9</t>
  </si>
  <si>
    <t>KFC0954@IRB.REST</t>
  </si>
  <si>
    <t>KFC Эдельвейс Железн</t>
  </si>
  <si>
    <t>KFC Lukoil Voennaya Novosibirsk</t>
  </si>
  <si>
    <t>KFC Лукойл Военная Новосибирск</t>
  </si>
  <si>
    <t>630017, Россия, Новосибирская область, Новосибирск, Военная, 7/1</t>
  </si>
  <si>
    <t>KFC0398@irb.rest</t>
  </si>
  <si>
    <t>KFC Kreiser Samara</t>
  </si>
  <si>
    <t>KFC Крейсер Самара</t>
  </si>
  <si>
    <t>443070, Россия, Самарская область, Самара, Аэродромная, 47а</t>
  </si>
  <si>
    <t>KFC0536@irb.rest</t>
  </si>
  <si>
    <t>KFC GUM Novosibirsk</t>
  </si>
  <si>
    <t>KFC ГУМ Новосибирск</t>
  </si>
  <si>
    <t>630048, Россия, Новосибирская область, Новосибирск, пл. Карла Маркса, 1</t>
  </si>
  <si>
    <t>KFC0450@irb.rest</t>
  </si>
  <si>
    <t>KFC Stupino Moscow</t>
  </si>
  <si>
    <t>KFC Ступино Москва</t>
  </si>
  <si>
    <t>142800, Россия, Московская область, Ступино, Пристанционная, 7а</t>
  </si>
  <si>
    <t>KFC0462@irb.rest</t>
  </si>
  <si>
    <t>KFC Dom Anapa</t>
  </si>
  <si>
    <t>KFC Дом Анапа</t>
  </si>
  <si>
    <t>353445, Россия, Краснодарский край, Анапа, Анапское шоссе, 20</t>
  </si>
  <si>
    <t>KFC0946@irb.rest</t>
  </si>
  <si>
    <t>KFC Schelkovskoe shosse Moscow</t>
  </si>
  <si>
    <t>KFC Щелковское шоссе Москва</t>
  </si>
  <si>
    <t>143909, Россия, Московская область, Балашиха, Щелковское шоссе, 141б</t>
  </si>
  <si>
    <t>KFC0459@irb.rest</t>
  </si>
  <si>
    <t>KFC Щелковское шоссе</t>
  </si>
  <si>
    <t>KFC Lenta Michurina Krasnoyarsk</t>
  </si>
  <si>
    <t>KFC Лента Мичурина Красноярск</t>
  </si>
  <si>
    <t>660050, Россия, Красноярский край, Красноярск, ул. Мичурина, д. 77</t>
  </si>
  <si>
    <t>KFC0471@irb.rest</t>
  </si>
  <si>
    <t>KFC Okey Putilkovo Moscow</t>
  </si>
  <si>
    <t>KFC Окей Путилково Москва</t>
  </si>
  <si>
    <t>143441, Россия, Московская область, Красногорск, д. Путилково, Путилковское шоссе, влд. 117</t>
  </si>
  <si>
    <t>KFC0465@irb.rest</t>
  </si>
  <si>
    <t>KFC Shell Utro Moscow</t>
  </si>
  <si>
    <t>KFC Шелл Утро Москва</t>
  </si>
  <si>
    <t>143582, Россия, Московская область, Московская область, Новорижское шоссе утренняя сторона 43-й километр</t>
  </si>
  <si>
    <t>KFC0466@irb.rest</t>
  </si>
  <si>
    <t>KFC Shell Vecher Moscow</t>
  </si>
  <si>
    <t>KFC Шелл Вечер Москва</t>
  </si>
  <si>
    <t>143582, Россия, Московская область, Московская область, Новорижское шоссе вечерняя сторона 43-й километр</t>
  </si>
  <si>
    <t>KFC0467@irb.rest</t>
  </si>
  <si>
    <t>KFC Шелл Вечер Москв</t>
  </si>
  <si>
    <t>KFC Yuzhny Tyumen</t>
  </si>
  <si>
    <t>KFC Южный Тюмень</t>
  </si>
  <si>
    <t>625007, Россия, Тюменская область, Тюмень, Мельникайте, 137</t>
  </si>
  <si>
    <t>KFC0468@irb.rest</t>
  </si>
  <si>
    <t>KFC Korston Serpukhov Moscow</t>
  </si>
  <si>
    <t>KFC Корстон Серпухов Москва</t>
  </si>
  <si>
    <t>142200, Россия, Московская область, Серпухов, Борисовское шоссе, 1</t>
  </si>
  <si>
    <t>KFC0472@irb.rest</t>
  </si>
  <si>
    <t>KFC Respublika Tyumen</t>
  </si>
  <si>
    <t>KFC Республика Тюмень</t>
  </si>
  <si>
    <t>625048, Россия, Тюменская область, Тюмень, улица Республики, 94, к.1</t>
  </si>
  <si>
    <t>KFC0479@irb.rest</t>
  </si>
  <si>
    <t>Kvant Krasnoyarsk</t>
  </si>
  <si>
    <t>Ресторан Квант Красноярск</t>
  </si>
  <si>
    <t>660017, Россия, Красноярский край, Красноярск, ул. Красной Армии, 10</t>
  </si>
  <si>
    <t>KFC0480@irb.rest</t>
  </si>
  <si>
    <t>Ресторан Квант Красн</t>
  </si>
  <si>
    <t>Taldom Moscow Region</t>
  </si>
  <si>
    <t>Ресторан Талдом Московская область</t>
  </si>
  <si>
    <t>141900, Россия, Московская область, Талдомский городской округ, Талдом, Советская, д. 23</t>
  </si>
  <si>
    <t>MOTaldom@uni.rest</t>
  </si>
  <si>
    <t>Taldom</t>
  </si>
  <si>
    <t>Ресторан Талдом Моск</t>
  </si>
  <si>
    <t>Povarovo Moscow Region</t>
  </si>
  <si>
    <t>Ресторан Поварово Московская область</t>
  </si>
  <si>
    <t>141540, Россия, Московская область, Солнечногорский район, дп Поварово, Привокзальная площадь, корп. 4</t>
  </si>
  <si>
    <t>MOPovarovo@uni.rest</t>
  </si>
  <si>
    <t>Povarovo</t>
  </si>
  <si>
    <t>Ресторан Поварово Мо</t>
  </si>
  <si>
    <t>Ozeretskoe Moscow Region</t>
  </si>
  <si>
    <t>Ресторан Озерецкое Московская область</t>
  </si>
  <si>
    <t>141895, Россия, Московская область, Дмитровский муниципальный район, сп Габовское, с Озерецкое, , вл. 1, стр.1</t>
  </si>
  <si>
    <t>MOOzeretskoe@uni.rest</t>
  </si>
  <si>
    <t>Ozeretskoye</t>
  </si>
  <si>
    <t>Ресторан Озерецкое М</t>
  </si>
  <si>
    <t>Bykovo Moscow Region</t>
  </si>
  <si>
    <t>Ресторан Быково Московская область</t>
  </si>
  <si>
    <t>140150, Россия, Московская область, Раменский район, п Быково, Советская, 1</t>
  </si>
  <si>
    <t>MOBykovo@uni.rest</t>
  </si>
  <si>
    <t>Bykovo</t>
  </si>
  <si>
    <t>Ресторан Быково Моск</t>
  </si>
  <si>
    <t>Chkalovsky Moscow Region</t>
  </si>
  <si>
    <t>Ресторан Чкаловский Московская область</t>
  </si>
  <si>
    <t>141103, Россия, Московская область, Щелковский район, Щелково, микрорайон Щелково-3, ул. Институтская, д.27а</t>
  </si>
  <si>
    <t>MOChkalovsky@uni.rest</t>
  </si>
  <si>
    <t>Ресторан Чкаловский</t>
  </si>
  <si>
    <t>KFC Manezh Tomsk</t>
  </si>
  <si>
    <t>KFC Манеж Томск</t>
  </si>
  <si>
    <t>634063, Россия, Томская область, Томск, Беринга, 10</t>
  </si>
  <si>
    <t>KFC0483@irb.rest</t>
  </si>
  <si>
    <t>Lenta Uralskaya Nizhniy Tagil</t>
  </si>
  <si>
    <t>Ресторан Лента Уральская Нижний Тагил</t>
  </si>
  <si>
    <t>622049, Россия, Свердловская область, Нижний Тагил, Уральский проспект, 75</t>
  </si>
  <si>
    <t>KFC0486@irb.rest</t>
  </si>
  <si>
    <t>KFC Lenta Transportnaya Novokuznetsk</t>
  </si>
  <si>
    <t>KFC Лента Транспортная Новокузнецк</t>
  </si>
  <si>
    <t>654066, Россия, Кемеровская область, Новокузнецк, Транспортная, 136</t>
  </si>
  <si>
    <t>KFC0489@irb.rest</t>
  </si>
  <si>
    <t>KFC Lenta Prokopyevsk</t>
  </si>
  <si>
    <t>KFC Лента Прокопьевск</t>
  </si>
  <si>
    <t>653052, Россия, Кемеровская область, Прокопьевск, пр. Строителей, 18</t>
  </si>
  <si>
    <t>KFC0488@irb.rest</t>
  </si>
  <si>
    <t>Prokopyevsk</t>
  </si>
  <si>
    <t>Mayakovskaya Moscow</t>
  </si>
  <si>
    <t>Ресторан Маяковская Москва</t>
  </si>
  <si>
    <t>127006, Россия, Москва, 1-я Тверская-Ямская, 2с1</t>
  </si>
  <si>
    <t>MOMayakovskaya@uni.rest</t>
  </si>
  <si>
    <t>Ресторан Маяковская</t>
  </si>
  <si>
    <t>Mega Himki Moscow Region</t>
  </si>
  <si>
    <t>Ресторан МЕГА Химки Московская область</t>
  </si>
  <si>
    <t>141400, Россия, Московская область, Химки, Микрорайон "ИКЕА", корп. 2</t>
  </si>
  <si>
    <t>MOHimkiMega@uni.rest</t>
  </si>
  <si>
    <t>Ресторан МЕГА Химки</t>
  </si>
  <si>
    <t>City Mall Surgut</t>
  </si>
  <si>
    <t>Ресторан Сити Молл Сургут</t>
  </si>
  <si>
    <t>628408, Россия, Ханты-Мансийский автономный округ - Югра автономный округ, Сургут, Югорский тракт, 38</t>
  </si>
  <si>
    <t>SUCityMall@uni.rest</t>
  </si>
  <si>
    <t>Ресторан Сити Молл С</t>
  </si>
  <si>
    <t>Alexandr Surgut</t>
  </si>
  <si>
    <t>Ресторан Александр Сургут</t>
  </si>
  <si>
    <t>628416, Россия, Ханты-Мансийский автономный округ - Югра автономный округ, Сургут, проспект Ленина, 50</t>
  </si>
  <si>
    <t>SUAlexander@uni.rest</t>
  </si>
  <si>
    <t>Ресторан Александр С</t>
  </si>
  <si>
    <t>Bum Moscow</t>
  </si>
  <si>
    <t>Ресторан Бум Москва</t>
  </si>
  <si>
    <t>109341, Россия, Москва, Перерва, 43к1</t>
  </si>
  <si>
    <t>MOBum@uni.rest</t>
  </si>
  <si>
    <t>Altufevo Moscow Region</t>
  </si>
  <si>
    <t>Ресторан Алтуфьево Московская область</t>
  </si>
  <si>
    <t>141031, Россия, Московская область, Мытищи, МКАД, ТПЗ "Алтуфьево", вл. 3, с. 1</t>
  </si>
  <si>
    <t>MOAshanAltufyevo@uni.rest</t>
  </si>
  <si>
    <t>Ресторан Алтуфьево М</t>
  </si>
  <si>
    <t>Vernadskogo Moscow</t>
  </si>
  <si>
    <t>Ресторан Вернадского Москва</t>
  </si>
  <si>
    <t>119334, Россия, Москва, проспект Вернадского, 6</t>
  </si>
  <si>
    <t>MOVernadsky@uni.rest</t>
  </si>
  <si>
    <t>Ресторан Вернадского</t>
  </si>
  <si>
    <t>Mega Belaya Dacha Moscow Region</t>
  </si>
  <si>
    <t>Ресторан МЕГА Белая Дача Московская область</t>
  </si>
  <si>
    <t>140055, Россия, Московская область, Котельники, 1-й Покровский проезд, 5</t>
  </si>
  <si>
    <t>MOBelayaDacha@uni.rest</t>
  </si>
  <si>
    <t>Ресторан МЕГА Белая</t>
  </si>
  <si>
    <t>Lobnya Moscow Region</t>
  </si>
  <si>
    <t>Ресторан Лобня Московская область</t>
  </si>
  <si>
    <t>141730, Россия, Московская область, Лобня, Маяковского, 5</t>
  </si>
  <si>
    <t>MOLobnya@uni.rest</t>
  </si>
  <si>
    <t>Ресторан Лобня Моско</t>
  </si>
  <si>
    <t>Partizanskaya Moscow</t>
  </si>
  <si>
    <t>Ресторан Партизанская Москва</t>
  </si>
  <si>
    <t>105187, Россия, Москва, Измайловское шоссе, 71А</t>
  </si>
  <si>
    <t>MOPartizanskaya@uni.rest</t>
  </si>
  <si>
    <t>Ресторан Партизанска</t>
  </si>
  <si>
    <t>Semenovsky Moscow</t>
  </si>
  <si>
    <t>Ресторан Семеновская Москва</t>
  </si>
  <si>
    <t>105318, Россия, Москва, Семёновская площадь, 1</t>
  </si>
  <si>
    <t>MOSemenovskaya@uni.rest</t>
  </si>
  <si>
    <t>8 (495) 212-00-00</t>
  </si>
  <si>
    <t>Ресторан Семеновская</t>
  </si>
  <si>
    <t>Narodnogo Opolcheniya Moscow</t>
  </si>
  <si>
    <t>Ресторан Народного ополчения Москва</t>
  </si>
  <si>
    <t>123298, Россия, Москва, Народного Ополчения, 46к1</t>
  </si>
  <si>
    <t>MODarya@uni.rest</t>
  </si>
  <si>
    <t>Ресторан Народного о</t>
  </si>
  <si>
    <t>Aura Surgut</t>
  </si>
  <si>
    <t>Ресторан Аура Сургут</t>
  </si>
  <si>
    <t>628404, Россия, Ханты-Мансийский автономный округ - Югра автономный округ, Сургут, Нефтеюганское шоссе, 1</t>
  </si>
  <si>
    <t>SUAura@uni.rest</t>
  </si>
  <si>
    <t>Marfino Moscow Region</t>
  </si>
  <si>
    <t>Ресторан Марфино Московская область</t>
  </si>
  <si>
    <t>143025, Россия, Московская область, Одинцовский район, д Марфино, МКАД, 53-й километр, 110</t>
  </si>
  <si>
    <t>MOMarfino@uni.rest</t>
  </si>
  <si>
    <t>Novoivanovskoye</t>
  </si>
  <si>
    <t>Ресторан Марфино Мос</t>
  </si>
  <si>
    <t>KFC Forum Ulan-Ude</t>
  </si>
  <si>
    <t>KFC Форум Улан-Удэ</t>
  </si>
  <si>
    <t>670000, Россия, Бурятия республика, Улан-Удэ, ул. Ленина, 39</t>
  </si>
  <si>
    <t>kfcforum@multi-menu.com</t>
  </si>
  <si>
    <t>Ulan-Ude</t>
  </si>
  <si>
    <t>KFC Park Rostov-on-Don</t>
  </si>
  <si>
    <t>KFC Парк Ростов-на-Дону</t>
  </si>
  <si>
    <t>344092, Россия, Ростовская область, Ростов-на-Дону, проспект Космонавтов, д. 19А/28Ж</t>
  </si>
  <si>
    <t>kfc.park@yummy-group.ru</t>
  </si>
  <si>
    <t>Marusino Moscow Region</t>
  </si>
  <si>
    <t>Ресторан Марусино Московская область</t>
  </si>
  <si>
    <t>Россия, Московская область, д Марусино, ул. Заречная, д. 29</t>
  </si>
  <si>
    <t>MOMarusino@uni.rest</t>
  </si>
  <si>
    <t>Marusino</t>
  </si>
  <si>
    <t>Ресторан Марусино Мо</t>
  </si>
  <si>
    <t>KFC Evropa Gubkin</t>
  </si>
  <si>
    <t>KFC Европа Губкин</t>
  </si>
  <si>
    <t>309183, Россия, Белгородская область, Губкин, ул. Космонавтов, д. 14</t>
  </si>
  <si>
    <t>kfc-gubkin-0123@cityrst.ru</t>
  </si>
  <si>
    <t>Gubkin</t>
  </si>
  <si>
    <t>KFC Mokshino Mokshino</t>
  </si>
  <si>
    <t>KFC Мокшино Мокшино</t>
  </si>
  <si>
    <t>171266, Россия, Тверская область, д Мокшино, ул. Ленинградская, дом 12</t>
  </si>
  <si>
    <t>kfc-mokshino-1256@cityrst.ru</t>
  </si>
  <si>
    <t>Mokshino</t>
  </si>
  <si>
    <t>KFC TTK Moscow</t>
  </si>
  <si>
    <t>KFC ТТК Москва</t>
  </si>
  <si>
    <t>119334, Россия, Москва, 5-й Донской проезд, д.19, стр.2</t>
  </si>
  <si>
    <t>kfc-5donskoy-proezd-119@cityrst.ru</t>
  </si>
  <si>
    <t>KFC Maks Saransk</t>
  </si>
  <si>
    <t>KFC Макс Саранск</t>
  </si>
  <si>
    <t>430027, Россия, Мордовия республика, Саранск, ул. Гагарина, дом 99 А/1</t>
  </si>
  <si>
    <t>kfc-saransk-0124@cityrst.ru</t>
  </si>
  <si>
    <t>Saransk</t>
  </si>
  <si>
    <t>KFC Zarya Moscow</t>
  </si>
  <si>
    <t>KFC Заря Москва</t>
  </si>
  <si>
    <t>107023, Россия, Москва, ул. Большая Семеновская влд.. 20 стр. 1/2</t>
  </si>
  <si>
    <t>kfc-69@akrussia.com</t>
  </si>
  <si>
    <t>Gorizont Krasnodar</t>
  </si>
  <si>
    <t>Ресторан Горизонт Краснодар</t>
  </si>
  <si>
    <t>350080, Россия, Краснодарский край, Краснодар, ул. им. Тюляева, д. 2</t>
  </si>
  <si>
    <t>403316@myrest.team</t>
  </si>
  <si>
    <t>Galeon Moscow</t>
  </si>
  <si>
    <t>Ресторан Галеон Москва</t>
  </si>
  <si>
    <t>117513, Россия, Москва, пр. Ленинский, д. 123В</t>
  </si>
  <si>
    <t>kfc-galeon-0125@cityrst.ru</t>
  </si>
  <si>
    <t>KFC City Mall Tyumen</t>
  </si>
  <si>
    <t>KFC Сити Молл Тюмень</t>
  </si>
  <si>
    <t>625059, Россия, Тюменская область, Тюмень, ул. Тимофея Чаркова, д. 60</t>
  </si>
  <si>
    <t>KFC0501@irb.rest</t>
  </si>
  <si>
    <t>KFC Sokol Moscow</t>
  </si>
  <si>
    <t>KFC Сокол Москва</t>
  </si>
  <si>
    <t>125315, Россия, Москва, Ленинградский проспект, дом 76А, ТЦ «Метромаркет»</t>
  </si>
  <si>
    <t>kfc-sokol@qsr-pro.com</t>
  </si>
  <si>
    <t>ООО "КФС-Сокол"</t>
  </si>
  <si>
    <t>KFC Solis Domodedovo Moscow</t>
  </si>
  <si>
    <t>KFC Солис Домодедово Москва</t>
  </si>
  <si>
    <t>142000, Россия, Московская область, Домодедово, Каширское шоссе д. 114</t>
  </si>
  <si>
    <t>KFC0500@irb.rest</t>
  </si>
  <si>
    <t>Metropolis Moscow</t>
  </si>
  <si>
    <t>Ресторан Метрополис Москва</t>
  </si>
  <si>
    <t>125171, Россия, Москва, Ленинградское шоссе, 16Ас4</t>
  </si>
  <si>
    <t>KFC0494@irb.rest</t>
  </si>
  <si>
    <t>Mikluho-Maklaya Moscow</t>
  </si>
  <si>
    <t>Ресторан Миклухо-Маклая Москва</t>
  </si>
  <si>
    <t>117485, Россия, Москва, ул. Миклухо-Маклая, 47А</t>
  </si>
  <si>
    <t>KFC0541@irb.rest</t>
  </si>
  <si>
    <t>Novoslobodskaya Moscow</t>
  </si>
  <si>
    <t>Ресторан Новослободская Москва</t>
  </si>
  <si>
    <t>127055, Россия, Москва, Новослободская, 11с1</t>
  </si>
  <si>
    <t>kfc0540@irb.rest</t>
  </si>
  <si>
    <t>KFC Otradnoe Moscow</t>
  </si>
  <si>
    <t>KFC Отрадное Москва</t>
  </si>
  <si>
    <t>127562, Россия, Москва, Декабристов, 12</t>
  </si>
  <si>
    <t>kfc-70@akrussia.com</t>
  </si>
  <si>
    <t>Sviblovo Moscow</t>
  </si>
  <si>
    <t>Ресторан Свиблово Москва</t>
  </si>
  <si>
    <t>129323, Россия, Москва, ул. Снежная, д. 27</t>
  </si>
  <si>
    <t>KFC0542@irb.rest</t>
  </si>
  <si>
    <t>KFC Slava Kopeysk</t>
  </si>
  <si>
    <t>KFC Слава Копейск</t>
  </si>
  <si>
    <t>456625, Россия, Челябинская область, Копейск,</t>
  </si>
  <si>
    <t>KFC0546@irb.rest</t>
  </si>
  <si>
    <t>Kopeysk</t>
  </si>
  <si>
    <t>KFC Okean Moscow</t>
  </si>
  <si>
    <t>KFC Океан Москва</t>
  </si>
  <si>
    <t>111539, Россия, Москва, ул. Вешняковская д 17А</t>
  </si>
  <si>
    <t>kfc-71@akrussia.com</t>
  </si>
  <si>
    <t>Park Vidnoe Moscow</t>
  </si>
  <si>
    <t>Ресторан Парк Видное Москва</t>
  </si>
  <si>
    <t>142703, Россия, Москва, ул. Старо-Нагорная, д. 20</t>
  </si>
  <si>
    <t>KFC0547@irb.rest</t>
  </si>
  <si>
    <t>Park Pobedy Moscow</t>
  </si>
  <si>
    <t>Ресторан Парк Победы Москва</t>
  </si>
  <si>
    <t>121170, Россия, Москва, ул. Генерала Ермолова, д. 4</t>
  </si>
  <si>
    <t>Kfc.parkpobedy@gmail.com</t>
  </si>
  <si>
    <t>ООО "Эксперт"</t>
  </si>
  <si>
    <t>Ресторан Парк Победы</t>
  </si>
  <si>
    <t>Kosmonavtov Ekaterinburg</t>
  </si>
  <si>
    <t>Ресторан Космонавтов Екатеринбург</t>
  </si>
  <si>
    <t>620058, Россия, Свердловская область, Екатеринбург, проспект Космонавтов, 108д</t>
  </si>
  <si>
    <t>KFC0551@irb.rest</t>
  </si>
  <si>
    <t>Lenina Pervouralsk</t>
  </si>
  <si>
    <t>Ресторан Ленина Первоуральск</t>
  </si>
  <si>
    <t>623101, Россия, Свердловская область, Первоуральск, ул. Ленина, д. 16А</t>
  </si>
  <si>
    <t>KFC0552@irb.rest</t>
  </si>
  <si>
    <t>Pervouralsk</t>
  </si>
  <si>
    <t>KFC Lukoil Sovetskoe shosse Novosibirsk</t>
  </si>
  <si>
    <t>KFC Лукойл Советское шоссе Новосибирск</t>
  </si>
  <si>
    <t>630501, Россия, Новосибирская область, Новосибирск, Мичуринский сельсовет, п. Элитный, Советское шоссе, здание №3А</t>
  </si>
  <si>
    <t>KFC0550@irb.rest</t>
  </si>
  <si>
    <t>KFC June Krasnogorsk Moscow</t>
  </si>
  <si>
    <t>KFC Июнь Красногорск Москва</t>
  </si>
  <si>
    <t>143402, Россия, Московская область, городской округ Красногорск, Красногорск, ул. Знаменская, д. 5</t>
  </si>
  <si>
    <t>KFC0554@irb.rest</t>
  </si>
  <si>
    <t>Nash Yaroslavskoe shosse Moscow</t>
  </si>
  <si>
    <t>Ресторан Наш Ярославское шоссе Москва</t>
  </si>
  <si>
    <t>129337, Россия, Москва, Ярославское шоссе, д. 54</t>
  </si>
  <si>
    <t>KFC0555@irb.rest</t>
  </si>
  <si>
    <t>KFC TSKAD Selyatino Moscow</t>
  </si>
  <si>
    <t>KFC ЦКАД Селятино Москва</t>
  </si>
  <si>
    <t>143345, Россия, Московская область, Наро-Фоминский городской округ, рп Селятино, пст Селятино, ул. Спортивная, д. 2</t>
  </si>
  <si>
    <t>KFC0557@irb.rest</t>
  </si>
  <si>
    <t>Selyatino</t>
  </si>
  <si>
    <t>Ilyushina Saint Petersburg</t>
  </si>
  <si>
    <t>Ресторан Ильюшина Санкт-Петербург</t>
  </si>
  <si>
    <t>197372, Россия, Санкт-Петербург, ул. Ильюшина, д. 5, корп. 1, стр. 1</t>
  </si>
  <si>
    <t>403338@myrest.team</t>
  </si>
  <si>
    <t>Koroleva Saint Petersburg</t>
  </si>
  <si>
    <t>Ресторан Королева Санкт-Петербург</t>
  </si>
  <si>
    <t>197349, Россия, Санкт-Петербург, ул. Байконурская, д. 22, лит. А</t>
  </si>
  <si>
    <t>403337@myrest.team</t>
  </si>
  <si>
    <t>KFC Biryuza Moscow</t>
  </si>
  <si>
    <t>KFC Бирюза Москва</t>
  </si>
  <si>
    <t>117403, Россия, Москва, ул. Булатниковская, д.2А</t>
  </si>
  <si>
    <t>kfc14@ffm.rest</t>
  </si>
  <si>
    <t>KFC Perovo Moscow</t>
  </si>
  <si>
    <t>KFC Перово Москва</t>
  </si>
  <si>
    <t>111401, Россия, Москва, Зеленый проспект, д. 19</t>
  </si>
  <si>
    <t>kfc-73@akrussia.com</t>
  </si>
  <si>
    <t>KFC Avtovokzal Moscow</t>
  </si>
  <si>
    <t>KFC Автовокзал Москва</t>
  </si>
  <si>
    <t>107207, Россия, Москва, Щелковское шоссе д 75</t>
  </si>
  <si>
    <t>kfc-72@akrussia.com</t>
  </si>
  <si>
    <t>KFC Ussuri Mall Ussuriisk</t>
  </si>
  <si>
    <t>KFC Уссури молл Уссурийск</t>
  </si>
  <si>
    <t>692512, Россия, Приморский край, Уссурийск, ул. Дзержинского, 93Б</t>
  </si>
  <si>
    <t>KFC.UssuriMall@goodfood-dv.ru</t>
  </si>
  <si>
    <t>Ussuriysk</t>
  </si>
  <si>
    <t>KFC Уссури молл Уссу</t>
  </si>
  <si>
    <t>KFC Fort Yasenevo Moscow</t>
  </si>
  <si>
    <t>KFC Форт Ясенево Москва</t>
  </si>
  <si>
    <t>117588, Россия, Москва, Новоясеневский проспект, 11</t>
  </si>
  <si>
    <t>planinvest2@mail.ru</t>
  </si>
  <si>
    <t>KFC Форт Ясенево Мос</t>
  </si>
  <si>
    <t>Krestovsky Moscow</t>
  </si>
  <si>
    <t>Ресторан Крестовский Москва</t>
  </si>
  <si>
    <t>129110, Россия, Москва, ул. Проспект Мира, д. 92с1</t>
  </si>
  <si>
    <t>KFC0556@irb.rest</t>
  </si>
  <si>
    <t>KFC Premium hall Astrakhan</t>
  </si>
  <si>
    <t>KFC Премиум холл Астрахань</t>
  </si>
  <si>
    <t>414000, Россия, Астраханская область, Астрахань, ул. Адмиралтейская д.15</t>
  </si>
  <si>
    <t>kfc-75@akrussia.com</t>
  </si>
  <si>
    <t>KFC Kineshma Kineshma</t>
  </si>
  <si>
    <t>KFC Кинешма Кинешма</t>
  </si>
  <si>
    <t>153051, Россия, Ивановская область, Кинешма, ул. 50-летия Комсомола, д.39</t>
  </si>
  <si>
    <t>kfc-74@akrussia.com</t>
  </si>
  <si>
    <t>Kineshma</t>
  </si>
  <si>
    <t>Lazurniy Engels</t>
  </si>
  <si>
    <t>Ресторан Лазурный Энгельс</t>
  </si>
  <si>
    <t>413100, Россия, Саратовская область, Энгельс, г. Энгельс, площадь Ленина, дом 4</t>
  </si>
  <si>
    <t>lazurniy@kfc-saratov.ru</t>
  </si>
  <si>
    <t>Ресторан Лазурный Эн</t>
  </si>
  <si>
    <t>KFC Zemlyachki Volgograd</t>
  </si>
  <si>
    <t>KFC Землячки Волгоград</t>
  </si>
  <si>
    <t>400117, Россия, Волгоградская область, Волгоград, ул. Землячки, 27</t>
  </si>
  <si>
    <t>KFC0559@irb.rest</t>
  </si>
  <si>
    <t>KFC Semeyniy park Magnitogorsk</t>
  </si>
  <si>
    <t>KFC Семейный парк Магнитогорск</t>
  </si>
  <si>
    <t>455049, Россия, Челябинская область, Магнитогорск, просп. Карла Маркса, д. 172</t>
  </si>
  <si>
    <t>KFC0560@irb.rest</t>
  </si>
  <si>
    <t>Reutov Moscow</t>
  </si>
  <si>
    <t>Ресторан Реутов Москва</t>
  </si>
  <si>
    <t>143966, Россия, Москва, Реутов, МКАД, 2-й километр, 2</t>
  </si>
  <si>
    <t>kfc0543@irb.rest</t>
  </si>
  <si>
    <t>Akademicheskaya Moscow</t>
  </si>
  <si>
    <t>Ресторан Академическая Москва</t>
  </si>
  <si>
    <t>117447, Россия, Москва, Большая Черёмушкинская, 1</t>
  </si>
  <si>
    <t>KFC0544@irb.rest</t>
  </si>
  <si>
    <t>Luga Luga</t>
  </si>
  <si>
    <t>Ресторан Луга Луга</t>
  </si>
  <si>
    <t>188230, Россия, Ленинградская область, Луга, пр-т Урицкого, д. 77, корп. 4</t>
  </si>
  <si>
    <t>403323@myrest.team</t>
  </si>
  <si>
    <t>Luga</t>
  </si>
  <si>
    <t>Tikhaya Murino Saint-Petersburg</t>
  </si>
  <si>
    <t>Ресторан Тихая Мурино Санкт-Петербург</t>
  </si>
  <si>
    <t>188661, Россия, Ленинградская область, Мурино, ул. Тихая, д. 12</t>
  </si>
  <si>
    <t>403340@myrest.team</t>
  </si>
  <si>
    <t>KFC Bravo city Tambov</t>
  </si>
  <si>
    <t>KFC Браво сити Тамбов</t>
  </si>
  <si>
    <t>392019, Россия, Тамбовская область, Тамбов, ул. Чичерина/ Мичуринская д. 27/ 211</t>
  </si>
  <si>
    <t>kfc-78@akrussia.com</t>
  </si>
  <si>
    <t>KFC Браво сити Тамбо</t>
  </si>
  <si>
    <t>KFC Almaz Gus-Khrustalny</t>
  </si>
  <si>
    <t>KFC Алмаз Гусь-Хрустальный</t>
  </si>
  <si>
    <t>601501, Россия, Владимирская область, Гусь-Хрустальный, ул. Калинина, д. 22</t>
  </si>
  <si>
    <t>kfc-76@akrussia.com</t>
  </si>
  <si>
    <t>Gus-Khrustalny</t>
  </si>
  <si>
    <t>Krasnoprudny Moscow</t>
  </si>
  <si>
    <t>Ресторан Краснопрудный Москва</t>
  </si>
  <si>
    <t>107140, Россия, Москва, Краснопрудная, 15</t>
  </si>
  <si>
    <t>KFC0562@irb.rest</t>
  </si>
  <si>
    <t>Kosino-Park Moscow</t>
  </si>
  <si>
    <t>Ресторан Косино-Парк Москва</t>
  </si>
  <si>
    <t>111675, Россия, Москва, Святоозёрская, 1А</t>
  </si>
  <si>
    <t>KFC0561@irb.rest</t>
  </si>
  <si>
    <t>Ryazansky prospekt Moscow</t>
  </si>
  <si>
    <t>Ресторан Рязанский проспект Москва</t>
  </si>
  <si>
    <t>109456, Россия, Москва, Рязанский проспект, 75к3</t>
  </si>
  <si>
    <t>KFC0563@irb.rest</t>
  </si>
  <si>
    <t>Pokryshkina Moscow</t>
  </si>
  <si>
    <t>Ресторан Покрышкина Москва</t>
  </si>
  <si>
    <t>109456, Россия, Москва, Покрышкина, 4</t>
  </si>
  <si>
    <t>KFC0564@irb.rest</t>
  </si>
  <si>
    <t>Elokhovskiy Moscow</t>
  </si>
  <si>
    <t>Ресторан Елоховский Москва</t>
  </si>
  <si>
    <t>105066, Россия, Москва, Спартаковская, 24</t>
  </si>
  <si>
    <t>KFC0565@irb.rest</t>
  </si>
  <si>
    <t>KFC Evropeisky Moscow</t>
  </si>
  <si>
    <t>KFC Европейский Москва</t>
  </si>
  <si>
    <t>121059, Россия, Москва, площадь Киевского Вокзала, 2, этаж 1, вход с улицы</t>
  </si>
  <si>
    <t>KFC0572@irb.rest</t>
  </si>
  <si>
    <t>KFC Equator Reutov Moscow</t>
  </si>
  <si>
    <t>KFC Экватор Реутов Москва</t>
  </si>
  <si>
    <t>143965, Россия, Московская область, Реутов, ул. Октября, вл. 10</t>
  </si>
  <si>
    <t>KFC0569@irb.rest</t>
  </si>
  <si>
    <t>KFC Tsvetnoy Bulvar Tyumen</t>
  </si>
  <si>
    <t>KFC Цветной Бульвар Тюмень</t>
  </si>
  <si>
    <t>625000, Россия, Тюменская область, Тюмень, ул. Ленина, 54В</t>
  </si>
  <si>
    <t>kfc0567@irb.rest</t>
  </si>
  <si>
    <t>KFC Quartz Podolsk Moscow</t>
  </si>
  <si>
    <t>KFC Кварц Подольск Москва</t>
  </si>
  <si>
    <t>142100, Россия, Московская область, Подольск, ул. Комсомольская, д. 24.</t>
  </si>
  <si>
    <t>KFC0570@irb.rest</t>
  </si>
  <si>
    <t>KFC Fortuna Rostov-on-Don</t>
  </si>
  <si>
    <t>KFC Фортуна Ростов-на-Дону</t>
  </si>
  <si>
    <t>344015, Россия, Ростовская область, Ростов-на-Дону, ул. Малиновского, 33б</t>
  </si>
  <si>
    <t>kfc.fortuna@yummy.rest</t>
  </si>
  <si>
    <t>Romodanovo Kaluga</t>
  </si>
  <si>
    <t>Ресторан Ромоданово Калуга</t>
  </si>
  <si>
    <t>248033, Россия, Калужская область, Калуга, ул. Тульское шоссе, 2А</t>
  </si>
  <si>
    <t>kfc.kaluga.romodanovo@gmail.com</t>
  </si>
  <si>
    <t>Ресторан Ромоданово</t>
  </si>
  <si>
    <t>1 Maya Votkinsk</t>
  </si>
  <si>
    <t>Ресторан 1 Мая Воткинск</t>
  </si>
  <si>
    <t>427433, Россия, Удмуртская республика, Воткинск, ул. 1 Мая, 53/71</t>
  </si>
  <si>
    <t>kfcmaya@restudm.ru</t>
  </si>
  <si>
    <t>Votkinsk</t>
  </si>
  <si>
    <t>Ресторан 1 Мая Вотки</t>
  </si>
  <si>
    <t>Oktyabrskiy Naberejnye Tchelny</t>
  </si>
  <si>
    <t>Ресторан Октябрьский Набережные Челны</t>
  </si>
  <si>
    <t>423821, Россия, Татарстан республика, Набережные Челны, пр-т Мира, д. 88\20</t>
  </si>
  <si>
    <t>kfcoktbr@restudm.ru</t>
  </si>
  <si>
    <t>Октябрьский Набережн</t>
  </si>
  <si>
    <t>Lukoil Taman</t>
  </si>
  <si>
    <t>Ресторан Лукойл Тамань</t>
  </si>
  <si>
    <t>353555, Россия, Краснодарский край, станица Тамань, территория Автодорога М-25 Новороссийск-Керченский пролив, улица 26-й км, 1</t>
  </si>
  <si>
    <t>403341@myrest.team</t>
  </si>
  <si>
    <t>Taman</t>
  </si>
  <si>
    <t>KFC Lezhnevskaya Ivanovo</t>
  </si>
  <si>
    <t>KFC Лежневская Иваново</t>
  </si>
  <si>
    <t>153009, Россия, Ивановская область, Иваново, улица Лежневская, дом 187</t>
  </si>
  <si>
    <t>kfc-77@akrussia.com</t>
  </si>
  <si>
    <t>KFC Internatsionalnaya Michurinsk</t>
  </si>
  <si>
    <t>KFC Интернациональная Мичуринск</t>
  </si>
  <si>
    <t>393760, Россия, Тамбовская область, Мичуринск, улица Интернациональная, д. 96А</t>
  </si>
  <si>
    <t>kfc-79@akrussia.com</t>
  </si>
  <si>
    <t>Michurinsk</t>
  </si>
  <si>
    <t>KFC Интернациональна</t>
  </si>
  <si>
    <t>Festival Moscow</t>
  </si>
  <si>
    <t>Ресторан Фестиваль Москва</t>
  </si>
  <si>
    <t>119602, Россия, Москва, Мичуринский проспект, Олимпийская деревня, д.3, к.1</t>
  </si>
  <si>
    <t>KFC0573@irb.rest</t>
  </si>
  <si>
    <t>KFC Prospect Vernadskogo 2 Moscow</t>
  </si>
  <si>
    <t>KFC Проспект Вернадского 2 Москва</t>
  </si>
  <si>
    <t>119454, Россия, Москва, проспект Вернадского, 14А</t>
  </si>
  <si>
    <t>kfc15@ffm.rest</t>
  </si>
  <si>
    <t>KFC Novogireevo Moscow</t>
  </si>
  <si>
    <t>KFC Новогиреево Москва</t>
  </si>
  <si>
    <t>111396, Россия, Москва, Зелёный проспект, 62А</t>
  </si>
  <si>
    <t>kfc17@ffm.rest</t>
  </si>
  <si>
    <t>KFC Sushevskiy val Moscow</t>
  </si>
  <si>
    <t>KFC Сущевский вал Москва</t>
  </si>
  <si>
    <t>127521, Россия, Москва, Сущёвский Вал, 59</t>
  </si>
  <si>
    <t>kfc19@ffm.rest</t>
  </si>
  <si>
    <t>KFC Frunzenskaya Moscow</t>
  </si>
  <si>
    <t>KFC Фрунзенская Москва</t>
  </si>
  <si>
    <t>119034, Россия, Москва, Комсомольский проспект, 24с1</t>
  </si>
  <si>
    <t>kfc16@ffm.rest</t>
  </si>
  <si>
    <t>KFC Zeleniy prospect Moscow</t>
  </si>
  <si>
    <t>KFC Зеленый проспект Москва</t>
  </si>
  <si>
    <t>111558, Россия, Москва, Зелёный проспект, 83</t>
  </si>
  <si>
    <t>kfc18@ffm.rest</t>
  </si>
  <si>
    <t>KFC Bibirevo Moscow</t>
  </si>
  <si>
    <t>KFC Бибирево Москва</t>
  </si>
  <si>
    <t>127560, Россия, Москва, Пришвина, 22</t>
  </si>
  <si>
    <t>kfc-83@akrussia.com</t>
  </si>
  <si>
    <t>KFC Yuzhnaya Moscow</t>
  </si>
  <si>
    <t>KFC Южная Москва</t>
  </si>
  <si>
    <t>117587, Россия, Москва, Кировоградская, 14</t>
  </si>
  <si>
    <t>kfc-82@akrussia.com</t>
  </si>
  <si>
    <t>KFC Zelenograd Moscow</t>
  </si>
  <si>
    <t>KFC Зеленоград Москва</t>
  </si>
  <si>
    <t>124482, Россия, Москва, площадь Юности, 2с1</t>
  </si>
  <si>
    <t>kfc-80@akrussia.com</t>
  </si>
  <si>
    <t>KFC Varshavka Moscow</t>
  </si>
  <si>
    <t>KFC Варшавка Москва</t>
  </si>
  <si>
    <t>117556, Россия, Москва, Варшавское шоссе, 87Б</t>
  </si>
  <si>
    <t>kfc-86@akrussia.com</t>
  </si>
  <si>
    <t>KFC Ladya Moscow</t>
  </si>
  <si>
    <t>KFC Ладья Москва</t>
  </si>
  <si>
    <t>125368, Россия, Москва, Дубравная, 34/29</t>
  </si>
  <si>
    <t>kfc-87@akrussia.com</t>
  </si>
  <si>
    <t>KFC Europark Moscow</t>
  </si>
  <si>
    <t>KFC Европарк Москва</t>
  </si>
  <si>
    <t>121609, Россия, Москва, Рублевское шоссе, 62 A</t>
  </si>
  <si>
    <t>kfc-81@akrussia.com</t>
  </si>
  <si>
    <t>KFC Iridium Moscow</t>
  </si>
  <si>
    <t>KFC Иридиум Москва</t>
  </si>
  <si>
    <t>124575, Россия, Москва, Крюковская площадь, 1</t>
  </si>
  <si>
    <t>kfc-84@akrussia.com</t>
  </si>
  <si>
    <t>KFC Snegovaya Pad Vladivostok</t>
  </si>
  <si>
    <t>KFC Снеговая Падь Владивосток</t>
  </si>
  <si>
    <t>690105, Россия, Приморский край, Владивосток, ул. Адмирала Горшкова, 40</t>
  </si>
  <si>
    <t>KFC.Snegovaya@goodfood-dv.ru</t>
  </si>
  <si>
    <t>KFC Снеговая Падь Вл</t>
  </si>
  <si>
    <t>Ekvator Naberezhnye Tchelny</t>
  </si>
  <si>
    <t>Ресторан Экватор Набережные Челны</t>
  </si>
  <si>
    <t>423822, Россия, Татарстан республика, Набережные Челны, Набережночелнинский проспект, 43а</t>
  </si>
  <si>
    <t>kfcekvator@restudm.ru</t>
  </si>
  <si>
    <t>Ресторан Экватор Наб</t>
  </si>
  <si>
    <t>KFC Severniy rynok Moscow</t>
  </si>
  <si>
    <t>KFC Северный рынок Москва</t>
  </si>
  <si>
    <t>129281, Россия, Москва, ул. Летчика Бабушкина, д. 30, стр.1</t>
  </si>
  <si>
    <t>kfc-sevmarket@qsr-pro.com</t>
  </si>
  <si>
    <t>Podolsk Moscow</t>
  </si>
  <si>
    <t>Ресторан Подольск Москва</t>
  </si>
  <si>
    <t>142104, Россия, Московская область, Подольск, Большая Серпуховская, 45</t>
  </si>
  <si>
    <t>KFC0574@irb.rest</t>
  </si>
  <si>
    <t>KFC Topol Ivanovo</t>
  </si>
  <si>
    <t>KFC Тополь Иваново</t>
  </si>
  <si>
    <t>153008, Россия, Ивановская область, Иваново, улица Лежневская, дом 55</t>
  </si>
  <si>
    <t>kfc-30@akrussia.com</t>
  </si>
  <si>
    <t>KFC Mariel Moscow</t>
  </si>
  <si>
    <t>KFC Мариэль Москва</t>
  </si>
  <si>
    <t>109652, Россия, Москва, ул. Люблинская, д. 169, корп. 2, ТЦ МАРИЭЛЬ</t>
  </si>
  <si>
    <t>kfc-89@akrussia.com</t>
  </si>
  <si>
    <t>KFC Lenina Magnitogorsk</t>
  </si>
  <si>
    <t>KFC Ленина Магнитогорск</t>
  </si>
  <si>
    <t>455048, Россия, Челябинская область, Магнитогорск, пр-кт Ленина, д. 117</t>
  </si>
  <si>
    <t>KFC0575@irb.rest</t>
  </si>
  <si>
    <t>KFC Entuziastov 63 Moscow</t>
  </si>
  <si>
    <t>KFC Энтузиастов 63 Москва</t>
  </si>
  <si>
    <t>105568, Россия, Москва, ш. Энтузиастов, 63Б</t>
  </si>
  <si>
    <t>kfc-88@akrussia.com</t>
  </si>
  <si>
    <t>KFC Slavich Moscow</t>
  </si>
  <si>
    <t>KFC Славич Москва</t>
  </si>
  <si>
    <t>107258, Россия, Москва, Бульвар Маршала Рокоссовского, д 31</t>
  </si>
  <si>
    <t>kfc-90@akrussia.com</t>
  </si>
  <si>
    <t>KFC Min Vody Mineralnye Vody</t>
  </si>
  <si>
    <t>KFC Мин Воды Минеральные Воды</t>
  </si>
  <si>
    <t>357200, Россия, Ставропольский край, Минеральные Воды, ул. Советская, земельный участок 91</t>
  </si>
  <si>
    <t>kfc.minvodi@yummy-group.ru</t>
  </si>
  <si>
    <t>Mineralnye Vody</t>
  </si>
  <si>
    <t>KFC Мин Воды Минерал</t>
  </si>
  <si>
    <t>Sennoy Saratov</t>
  </si>
  <si>
    <t>Ресторан Сенной Саратов</t>
  </si>
  <si>
    <t>410035, Россия, Саратовская область, Саратов, Танкистов, 2а</t>
  </si>
  <si>
    <t>sennoy@kfc-saratov.ru</t>
  </si>
  <si>
    <t>Ресторан Сенной Сара</t>
  </si>
  <si>
    <t>KFC Kazan mall Kazan</t>
  </si>
  <si>
    <t>KFC Казань молл Казань</t>
  </si>
  <si>
    <t>420059, Россия, Татарстан республика, Казань, ул. Павлюхина, д. 91</t>
  </si>
  <si>
    <t>403332@myrest.team</t>
  </si>
  <si>
    <t>KFC Strekoza Kurgan</t>
  </si>
  <si>
    <t>KFC Стрекоза Курган</t>
  </si>
  <si>
    <t>640023, Россия, Курганская область, Курган, мкр. 2-й, д. 17</t>
  </si>
  <si>
    <t>KFC0589@irb.rest</t>
  </si>
  <si>
    <t>KFC Gagarina Troitsk</t>
  </si>
  <si>
    <t>KFC Гагарина Троицк</t>
  </si>
  <si>
    <t>457100, Россия, Челябинская область, Троицк (Челябинская область), ул. Гагарина, д. 80</t>
  </si>
  <si>
    <t>KFC0590@irb.rest</t>
  </si>
  <si>
    <t>Troitsk (Chelyabinsk)</t>
  </si>
  <si>
    <t>Yakor Nizhnekamsk</t>
  </si>
  <si>
    <t>Ресторан Якорь Нижнекамск</t>
  </si>
  <si>
    <t>423578, Россия, Татарстан республика, Нижнекамск, ул. Корабельная, д. 44</t>
  </si>
  <si>
    <t>kfcyakor@restudm.ru</t>
  </si>
  <si>
    <t>Ресторан Якорь Нижне</t>
  </si>
  <si>
    <t>KFC Kristall Omsk</t>
  </si>
  <si>
    <t>KFC Кристалл Омск</t>
  </si>
  <si>
    <t>644050, Россия, Омская область, Омск, пр-кт Мира, д. 19</t>
  </si>
  <si>
    <t>KFC0586@irb.rest</t>
  </si>
  <si>
    <t>KFC Lukoil Berdskoe Novosibirsk</t>
  </si>
  <si>
    <t>KFC Лукойл Бердское Новосибирск</t>
  </si>
  <si>
    <t>630090, Россия, Новосибирская область, Новосибирск, Бердское шоссе, 550</t>
  </si>
  <si>
    <t>KFC0584@irb.rest</t>
  </si>
  <si>
    <t>KFC Lukoil Bolshevistskaya Novosibirsk</t>
  </si>
  <si>
    <t>KFC Лукойл Большевистская Новосибирск</t>
  </si>
  <si>
    <t>630083, Россия, Новосибирская область, Новосибирск, Большевистская, 130</t>
  </si>
  <si>
    <t>KFC0585@irb.rest</t>
  </si>
  <si>
    <t>KFC Newton Chelyabinsk</t>
  </si>
  <si>
    <t>KFC Ньютон Челябинск</t>
  </si>
  <si>
    <t>454003, Россия, Челябинская область, Челябинск, проспект Героя России Родионова Е.Н., д. 11</t>
  </si>
  <si>
    <t>KFC0580@irb.rest</t>
  </si>
  <si>
    <t>KFC Focus Chelyabinsk</t>
  </si>
  <si>
    <t>KFC Фокус Челябинск</t>
  </si>
  <si>
    <t>454021, Россия, Челябинская область, Челябинск, ул. Молдавская , д. 18, с. 3</t>
  </si>
  <si>
    <t>KFC0581@irb.rest</t>
  </si>
  <si>
    <t>KFC Zhukova Chelyabinsk</t>
  </si>
  <si>
    <t>KFC Жукова Челябинск</t>
  </si>
  <si>
    <t>454017, Россия, Челябинская область, Челябинск, ул. Жукова, д. 5а</t>
  </si>
  <si>
    <t>KFC0582@irb.rest</t>
  </si>
  <si>
    <t>KFC Voskresensk Moscow</t>
  </si>
  <si>
    <t>KFC Воскресенск Москва</t>
  </si>
  <si>
    <t>140200, Россия, Московская область, Воскресенский район, Воскресенск, г. Воскресенск, Площадь Ленина, 5</t>
  </si>
  <si>
    <t>KFC0576@irb.rest</t>
  </si>
  <si>
    <t>KFC Domos Moscow</t>
  </si>
  <si>
    <t>KFC Домос Москва</t>
  </si>
  <si>
    <t>142000, Россия, Московская область, Домодедово, мкр. Центральный, площадь Привокзальная, д. 7</t>
  </si>
  <si>
    <t>KFC0577@irb.rest</t>
  </si>
  <si>
    <t>KFC Aviator Zhukovsky Moscow</t>
  </si>
  <si>
    <t>KFC Авиатор Жуковский Москва</t>
  </si>
  <si>
    <t>140188, Россия, Московская область, Жуковский, ул. Баженова, 2А</t>
  </si>
  <si>
    <t>KFC0578@irb.rest</t>
  </si>
  <si>
    <t>Zhukovsky</t>
  </si>
  <si>
    <t>Prospekt Mira Moscow</t>
  </si>
  <si>
    <t>Ресторан Проспект Мира Москва</t>
  </si>
  <si>
    <t>129090, Россия, Москва, Проспект Мира, 40</t>
  </si>
  <si>
    <t>KFC0579@irb.rest</t>
  </si>
  <si>
    <t>Yursha Perm</t>
  </si>
  <si>
    <t>Ресторан Юрша Пермь</t>
  </si>
  <si>
    <t>614051, Россия, Пермский край, Пермь, ул. Юрша, дом 84</t>
  </si>
  <si>
    <t>kfcursha@restudm.ru</t>
  </si>
  <si>
    <t>KFC Kurskiy 4 Moscow</t>
  </si>
  <si>
    <t>KFC Курский 4 Москва</t>
  </si>
  <si>
    <t>105064, Россия, Москва, улица Земляной вал, дом 29, строение 9</t>
  </si>
  <si>
    <t>kfc-kurskij4-1263@cityrst.ru</t>
  </si>
  <si>
    <t>Mendeleeva Ufa</t>
  </si>
  <si>
    <t>Ресторан Менделеева Уфа</t>
  </si>
  <si>
    <t>450022, Россия, Башкортостан республика, Уфа, улица Менделеева, дом 134/9</t>
  </si>
  <si>
    <t>Kfc30@grufa.ru</t>
  </si>
  <si>
    <t>ООО "Глобал Фуд Менделеева"</t>
  </si>
  <si>
    <t>Ресторан Менделеева</t>
  </si>
  <si>
    <t>Bakalinskaya Ufa</t>
  </si>
  <si>
    <t>Ресторан Бакалинская Уфа</t>
  </si>
  <si>
    <t>450022, Россия, Башкортостан республика, Уфа, улица Бакалинская, дом 64/5</t>
  </si>
  <si>
    <t>Kfc31@grufa.ru</t>
  </si>
  <si>
    <t>ООО "Глобал Фуд Бакалинская"</t>
  </si>
  <si>
    <t>Ресторан Бакалинская</t>
  </si>
  <si>
    <t>Mubaryakova Ufa</t>
  </si>
  <si>
    <t>Ресторан Мубарякова Уфа</t>
  </si>
  <si>
    <t>450092, Россия, Башкортостан республика, Уфа, улица Софьи Перовской, дом 56</t>
  </si>
  <si>
    <t>Kfc32@grufa.ru</t>
  </si>
  <si>
    <t>ООО "Глобал Фуд Мубарякова"</t>
  </si>
  <si>
    <t>Ресторан Мубарякова</t>
  </si>
  <si>
    <t>KFC Yaroslavl 1 Yaroslavl</t>
  </si>
  <si>
    <t>KFC Ярославль 1 Ярославль</t>
  </si>
  <si>
    <t>150000, Россия, Ярославская область, Ярославль, Комсомольская, 5</t>
  </si>
  <si>
    <t>kfc-95@akrussia.com</t>
  </si>
  <si>
    <t>Yaroslavl</t>
  </si>
  <si>
    <t>KFC Aura Yaroslavl</t>
  </si>
  <si>
    <t>KFC Аура Ярославль</t>
  </si>
  <si>
    <t>150014, Россия, Ярославская область, Ярославль, Победы, 41</t>
  </si>
  <si>
    <t>kfc-93@akrussia.com</t>
  </si>
  <si>
    <t>KFC Vernisazh Yaroslavl</t>
  </si>
  <si>
    <t>KFC Вернисаж Ярославль</t>
  </si>
  <si>
    <t>150521, Россия, Ярославская область, п Нагорный, Дорожная, 6А</t>
  </si>
  <si>
    <t>kfc-97@akrussia.com</t>
  </si>
  <si>
    <t>KFC Altair Yaroslavl</t>
  </si>
  <si>
    <t>KFC Альтаир Ярославль</t>
  </si>
  <si>
    <t>150060, Россия, Ярославская область, Ярославль, Ленинградский проспект, 123</t>
  </si>
  <si>
    <t>kfc-94@akrussia.com</t>
  </si>
  <si>
    <t>KFC Moskovsky Yaroslavl</t>
  </si>
  <si>
    <t>KFC Московский Ярославль</t>
  </si>
  <si>
    <t>150023, Россия, Ярославская область, Ярославль, Московский проспект, 90</t>
  </si>
  <si>
    <t>kfc-92@akrussia.com</t>
  </si>
  <si>
    <t>Tramplin Moscow</t>
  </si>
  <si>
    <t>Ресторан Трамплин Москва</t>
  </si>
  <si>
    <t>121552, Россия, Москва, Ярцевская, 25А</t>
  </si>
  <si>
    <t>KFC0624@irb.rest</t>
  </si>
  <si>
    <t>XL Moscow</t>
  </si>
  <si>
    <t>Ресторан XL Москва</t>
  </si>
  <si>
    <t>127486, Россия, Москва, Дмитровское шоссе, 89</t>
  </si>
  <si>
    <t>KFC0622@irb.rest</t>
  </si>
  <si>
    <t>Solnechny Rai Moscow</t>
  </si>
  <si>
    <t>Ресторан Солнечный Рай Москва</t>
  </si>
  <si>
    <t>119618, Россия, Москва, Боровское шоссе, 6</t>
  </si>
  <si>
    <t>KFC0623@irb.rest</t>
  </si>
  <si>
    <t>KFC Krasnobogatyrskaya Moscow</t>
  </si>
  <si>
    <t>KFC Краснобогатырская Москва</t>
  </si>
  <si>
    <t>107564, Россия, Москва, Краснобогатырская, д. 13</t>
  </si>
  <si>
    <t>kfc-103@akrussia.com</t>
  </si>
  <si>
    <t>KFC Yozh Ryazan</t>
  </si>
  <si>
    <t>KFC Ёж Рязань</t>
  </si>
  <si>
    <t>390026, Россия, Рязанская область, Рязань, ул. Татарская, строение 95</t>
  </si>
  <si>
    <t>kfc-104@akrussia.com</t>
  </si>
  <si>
    <t>KFC Evroport Lipetsk</t>
  </si>
  <si>
    <t>KFC Европорт Липецк</t>
  </si>
  <si>
    <t>398050, Россия, Липецкая область, Липецк, площадь Плеханова, 3</t>
  </si>
  <si>
    <t>Kfc-100@akrussia.com</t>
  </si>
  <si>
    <t>Lipetsk</t>
  </si>
  <si>
    <t>KFC Noyabrskiy Lipetsk</t>
  </si>
  <si>
    <t>KFC Ноябрьский Липецк</t>
  </si>
  <si>
    <t>398042, Россия, Липецкая область, Липецк, Космонавтов, 98</t>
  </si>
  <si>
    <t>Kfc-99@akrussia.com</t>
  </si>
  <si>
    <t>KFC Riviera Lipetsk</t>
  </si>
  <si>
    <t>KFC Ривьера Липецк</t>
  </si>
  <si>
    <t>398004, Россия, Липецкая область, Липецк, Катукова, 51</t>
  </si>
  <si>
    <t>Kfc-98@akrussia.com</t>
  </si>
  <si>
    <t>KFC Sokol Lipetsk</t>
  </si>
  <si>
    <t>KFC Сокол Липецк</t>
  </si>
  <si>
    <t>398007, Россия, Липецкая область, Липецк, Заводская площадь, 4</t>
  </si>
  <si>
    <t>kfc-101@akrussia.com</t>
  </si>
  <si>
    <t>KFC Elets Elets</t>
  </si>
  <si>
    <t>KFC Елец Елец</t>
  </si>
  <si>
    <t>399770, Россия, Липецкая область, Елец, Мира, 113</t>
  </si>
  <si>
    <t>kfc-102@akrussia.com</t>
  </si>
  <si>
    <t>Elets</t>
  </si>
  <si>
    <t>KFC Avtovokzal Yakutsk</t>
  </si>
  <si>
    <t>KFC Автовокзал Якутск</t>
  </si>
  <si>
    <t>677009, Россия, Саха /Якутия республика, Якутск, Ломоносова, 47</t>
  </si>
  <si>
    <t>YKTlomonosova@multi-menu.com</t>
  </si>
  <si>
    <t>KFC Myod Ulan-Ude</t>
  </si>
  <si>
    <t>KFC Мёд Улан-Удэ</t>
  </si>
  <si>
    <t>670049, Россия, Бурятия республика, Улан-Удэ, 110 квартал, 11</t>
  </si>
  <si>
    <t>KFCMed@multi-menu.com</t>
  </si>
  <si>
    <t>1905 goda Ekaterinburg</t>
  </si>
  <si>
    <t>Ресторан 1905 года Екатеринбург</t>
  </si>
  <si>
    <t>623101, Россия, Свердловская область, Екатеринбург, ул. 8 Марта, д.8 В</t>
  </si>
  <si>
    <t>KFC0594@irb.rest</t>
  </si>
  <si>
    <t>Ресторан 1905 года Е</t>
  </si>
  <si>
    <t>City Centr Anzhero-Sudzhensk</t>
  </si>
  <si>
    <t>Ресторан Сити Центр Анжеро-Судженск</t>
  </si>
  <si>
    <t>652470, Россия, Кемеровская область, Анжеро-Судженск, ул. Рабочая, 18</t>
  </si>
  <si>
    <t>kfc_anzhero_sudzhensk@kfc42.ru</t>
  </si>
  <si>
    <t>Anzhero-Sudzhensk</t>
  </si>
  <si>
    <t>Ресторан Сити Центр</t>
  </si>
  <si>
    <t>Chekhov Penza</t>
  </si>
  <si>
    <t>Ресторан Чехов Пенза</t>
  </si>
  <si>
    <t>440000, Россия, Пензенская область, Пенза, Чехова, д. 10</t>
  </si>
  <si>
    <t>chekhov@kfc-penza.ru</t>
  </si>
  <si>
    <t>KFC М4 Moscow</t>
  </si>
  <si>
    <t>KFC М4 Москва</t>
  </si>
  <si>
    <t>142030, Россия, Московская область, Домодедово, с. Ям, ул. Путейская, уч. 30/7</t>
  </si>
  <si>
    <t>KFC0595@irb.rest</t>
  </si>
  <si>
    <t>KFC Prime Plaza Moscow</t>
  </si>
  <si>
    <t>KFC Прайм Плаза Москва</t>
  </si>
  <si>
    <t>117461, Россия, Москва, ул. Каховка, д. 29А</t>
  </si>
  <si>
    <t>kfc21@ffm.rest</t>
  </si>
  <si>
    <t>KFC Kozhevnicheskaya Moscow</t>
  </si>
  <si>
    <t>KFC Кожевническая Москва</t>
  </si>
  <si>
    <t>115114, Россия, Москва, Кожевническая, д.10, стр.1</t>
  </si>
  <si>
    <t>kfc20@ffm.rest</t>
  </si>
  <si>
    <t>KFC Narodniy Vladivostok</t>
  </si>
  <si>
    <t>KFC Народный Владивосток</t>
  </si>
  <si>
    <t>690014, Россия, Приморский край, Владивосток, Народный проспект, 20</t>
  </si>
  <si>
    <t>KFC.Remicity@goodfood-dv.ru</t>
  </si>
  <si>
    <t>KFC Народный Владиво</t>
  </si>
  <si>
    <t>Stratonavtov 9 Moscow</t>
  </si>
  <si>
    <t>Ресторан Стратонавтов 9 Москва</t>
  </si>
  <si>
    <t>125424, Россия, Москва, проезд Стратонавтов д.9, корп. 2</t>
  </si>
  <si>
    <t>kfc-stratonavtov-1267@cityrst.ru</t>
  </si>
  <si>
    <t>KFC Khasavyurt Khasavyurt</t>
  </si>
  <si>
    <t>KFC Хасавюрт Хасавюрт</t>
  </si>
  <si>
    <t>368006, Россия, Дагестан республика, Хасавюрт, шоссе Автострада Ростов - Баку, 84</t>
  </si>
  <si>
    <t>kfc.khasavyurt@yummy-group.ru</t>
  </si>
  <si>
    <t>Khasavyurt</t>
  </si>
  <si>
    <t>KFC Ust-Dzheguta Ust-Dzheguta</t>
  </si>
  <si>
    <t>KFC Усть-Джегута Усть-Джегута</t>
  </si>
  <si>
    <t>369300, Россия, Карачаево-Черкесская республика, Усть-Джегута, Курортная, 230а</t>
  </si>
  <si>
    <t>kfc.dzheguta@yummy-group.ru</t>
  </si>
  <si>
    <t>Ust-Dzheguta</t>
  </si>
  <si>
    <t>KFC Усть-Джегута Уст</t>
  </si>
  <si>
    <t>KFC Aeroport Moscow</t>
  </si>
  <si>
    <t>KFC Аэропорт Москва</t>
  </si>
  <si>
    <t>125319, Россия, Москва, Ленинградский проспект, 62а</t>
  </si>
  <si>
    <t>kfc-galereya-aeroport@ffm.rest</t>
  </si>
  <si>
    <t>KFC Shell Mamadyshskyi Kazan</t>
  </si>
  <si>
    <t>KFC Шелл Мамадышский Казань</t>
  </si>
  <si>
    <t>420025, Россия, Татарстан республика, Казань, Мамадышский тракт, сооружение 52</t>
  </si>
  <si>
    <t>403314@myrest.team</t>
  </si>
  <si>
    <t>Lukoil Krymskiy Most Taman</t>
  </si>
  <si>
    <t>Ресторан Лукойл Крымский мост Тамань</t>
  </si>
  <si>
    <t>353555, Россия, Краснодарский край, Автодорога М-25 Новороссийск-Керченский пролив территория, 26-й км улица, 2</t>
  </si>
  <si>
    <t>403344@myrest.team</t>
  </si>
  <si>
    <t>Shushary Saint Petersburg</t>
  </si>
  <si>
    <t>Ресторан Шушары Санкт-Петербург</t>
  </si>
  <si>
    <t>196626, Россия, Санкт-Петербург, ул. Вишерская, д. 10, лит. А</t>
  </si>
  <si>
    <t>403339@myrest.team</t>
  </si>
  <si>
    <t>KFC Tutaevskoe Yaroslavl</t>
  </si>
  <si>
    <t>KFC Тутаевское Ярославль</t>
  </si>
  <si>
    <t>150042, Россия, Ярославская область, Ярославль, Тутаевское ш., д. 2</t>
  </si>
  <si>
    <t>Kfc-107@akrussia.com</t>
  </si>
  <si>
    <t>KFC Avenue Vladimir</t>
  </si>
  <si>
    <t>KFC Авеню Владимир</t>
  </si>
  <si>
    <t>600022, Россия, Владимирская область, Владимир, ул. Благонравова, д. 2</t>
  </si>
  <si>
    <t>kfc-105@akrussia.com</t>
  </si>
  <si>
    <t>KFC Rassvet Moscow</t>
  </si>
  <si>
    <t>KFC Рассвет Москва</t>
  </si>
  <si>
    <t>125130, Россия, Москва, Зои и Александра Космодемьянских, д.23</t>
  </si>
  <si>
    <t>kfc-rassvet@qsr-pro.com</t>
  </si>
  <si>
    <t>ООО "ПБО Рассвет"</t>
  </si>
  <si>
    <t>KFC Mars Moscow</t>
  </si>
  <si>
    <t>KFC Марс Москва</t>
  </si>
  <si>
    <t>127410, Россия, Москва, Инженерная, д.1</t>
  </si>
  <si>
    <t>kfc-mars@qsr-pro.com</t>
  </si>
  <si>
    <t>Planeta Perm</t>
  </si>
  <si>
    <t>Ресторан Планета Пермь</t>
  </si>
  <si>
    <t>614065, Россия, Пермский край, Пермь, шоссе Космонавтов, 162б</t>
  </si>
  <si>
    <t>kfcplaneta@restudm.ru</t>
  </si>
  <si>
    <t>Ресторан Планета Пер</t>
  </si>
  <si>
    <t>KFC Lotos Khabarovsk</t>
  </si>
  <si>
    <t>KFC Лотос Хабаровск</t>
  </si>
  <si>
    <t>680000, Россия, Хабаровский край, Хабаровск, ул. Муравьева Амурского, 7</t>
  </si>
  <si>
    <t>KFC.Lotos@goodfood-dv.ru</t>
  </si>
  <si>
    <t>KFC People’s park Ulan-Ude</t>
  </si>
  <si>
    <t>KFC Пиплс парк Улан-Удэ</t>
  </si>
  <si>
    <t>670033, Россия, Бурятия республика, Улан-Удэ, Жердева, 136\1</t>
  </si>
  <si>
    <t>kfcpeoples@multi-menu.com</t>
  </si>
  <si>
    <t>KFC Vybornaya Novosibirsk</t>
  </si>
  <si>
    <t>KFC Выборная Новосибирск</t>
  </si>
  <si>
    <t>630126, Россия, Новосибирская область, Новосибирск, Выборная, 122/3</t>
  </si>
  <si>
    <t>KFC0600@irb.rest</t>
  </si>
  <si>
    <t>KFC Lenina Langepas</t>
  </si>
  <si>
    <t>KFC Ленина Лангепас</t>
  </si>
  <si>
    <t>628672, Россия, Ханты-Мансийский автономный округ - Югра автономный округ, Лангепас, Ленина, д. 40</t>
  </si>
  <si>
    <t>KFC0598@irb.rest</t>
  </si>
  <si>
    <t>Langepas</t>
  </si>
  <si>
    <t>KFC Orangereya Nefteyugansk</t>
  </si>
  <si>
    <t>KFC Оранжерея Нефтеюганск</t>
  </si>
  <si>
    <t>628306, Россия, Ханты-Мансийский автономный округ - Югра автономный округ, Нефтеюганск, 15-й мкр, д. 6</t>
  </si>
  <si>
    <t>KFC0599@irb.rest</t>
  </si>
  <si>
    <t>KFC Green Park Nizhnevartovsk</t>
  </si>
  <si>
    <t>KFC Грин Парк Нижневартовск</t>
  </si>
  <si>
    <t>628611, Россия, Ханты-Мансийский автономный округ - Югра автономный округ, Нижневартовск, Ленина, д. 8</t>
  </si>
  <si>
    <t>KFC0597@irb.rest</t>
  </si>
  <si>
    <t>KFC Shatura Moscow</t>
  </si>
  <si>
    <t>KFC Шатура Москва</t>
  </si>
  <si>
    <t>140703, Россия, Московская область, Шатура, проспект Ильича, д. 46</t>
  </si>
  <si>
    <t>KFC0619@irb.rest</t>
  </si>
  <si>
    <t>Shatura</t>
  </si>
  <si>
    <t>Kvartal West Moscow</t>
  </si>
  <si>
    <t>Ресторан Квартал Вест Москва</t>
  </si>
  <si>
    <t>119530, Россия, Москва, Аминьевское шоссе, д. 6</t>
  </si>
  <si>
    <t>KFC0620@irb.rest</t>
  </si>
  <si>
    <t>KFC Pyatachok Lyubertsy Moscow</t>
  </si>
  <si>
    <t>KFC Пятачок Люберцы Москва</t>
  </si>
  <si>
    <t>140102, Россия, Московская область, Люберцы, ул. Кирова, д. 3, лит. Б</t>
  </si>
  <si>
    <t>KFC0618@irb.rest</t>
  </si>
  <si>
    <t>KFC Lenina Ulan-Ude</t>
  </si>
  <si>
    <t>KFC Ленина Улан-Удэ</t>
  </si>
  <si>
    <t>670000, Россия, Бурятия республика, Улан-Удэ, Ленина, 52</t>
  </si>
  <si>
    <t>KFCLenina@multi-menu.com</t>
  </si>
  <si>
    <t>KFС Avrora Yaroslavl</t>
  </si>
  <si>
    <t>KFC Аврора Ярославль</t>
  </si>
  <si>
    <t>150062, Россия, Ярославская область, Ярославль, пр-т Машиностроителей, д. 9Б</t>
  </si>
  <si>
    <t>kfc-53@akrussia.com</t>
  </si>
  <si>
    <t>KFС TC Parkoviy Moscow</t>
  </si>
  <si>
    <t>KFC ТЦ Парковый Москва</t>
  </si>
  <si>
    <t>150007, Россия, Москва, 3-я Парковая улица, вл. 57</t>
  </si>
  <si>
    <t>kfc-48@akrussia.com</t>
  </si>
  <si>
    <t>KFC Leto Park Tomsk</t>
  </si>
  <si>
    <t>KFC Лето Парк Томск</t>
  </si>
  <si>
    <t>634034, Россия, Томская область, Томск, ул. Нахимова, 8, стр. 13</t>
  </si>
  <si>
    <t>KFC0621@irb.rest</t>
  </si>
  <si>
    <t>Geroev Saint Petersburg</t>
  </si>
  <si>
    <t>Ресторан Героев Санкт-Петербург</t>
  </si>
  <si>
    <t>198335, Россия, Санкт-Петербург, Ленинский проспект, д. 49, корп. 1</t>
  </si>
  <si>
    <t>403343@myrest.team</t>
  </si>
  <si>
    <t>KFC Tikhoretsk Tikhoretsk</t>
  </si>
  <si>
    <t>KFC Тихорецк Тихорецк</t>
  </si>
  <si>
    <t>352120, Россия, Краснодарский край, Тихорецк, Октябрьская, 118/7</t>
  </si>
  <si>
    <t>403342@myrest.team</t>
  </si>
  <si>
    <t>Tikhoretsk</t>
  </si>
  <si>
    <t>Nebo Solntsevo Moscow</t>
  </si>
  <si>
    <t>Ресторан Небо Солнцево Москва</t>
  </si>
  <si>
    <t>119619, Россия, Москва, Авиаторов , д. 3А</t>
  </si>
  <si>
    <t>KFC0631@irb.rest</t>
  </si>
  <si>
    <t>KFC Salut Stavropol</t>
  </si>
  <si>
    <t>KFC Салют Ставрополь</t>
  </si>
  <si>
    <t>355040, Россия, Ставропольский край, город Ставрополь, 50 лет ВЛКСМ, 2/1</t>
  </si>
  <si>
    <t>kfc.salut@yummy-group.ru</t>
  </si>
  <si>
    <t>KFC Chistyakova Novosibirsk</t>
  </si>
  <si>
    <t>KFC Чистякова Новосибирск</t>
  </si>
  <si>
    <t>630022, Россия, Новосибирская область, Новосибирск, Чистякова, 7А</t>
  </si>
  <si>
    <t>kfc0630@irb.rest</t>
  </si>
  <si>
    <t>KFC Krasnoznamennaya Ussuriysk</t>
  </si>
  <si>
    <t>KFC Краснознаменная Уссурийск</t>
  </si>
  <si>
    <t>692525, Россия, Приморский край, Уссурийск, Краснознаменная, 174</t>
  </si>
  <si>
    <t>KFC.UssuriKrzn@goodfood-dv.ru</t>
  </si>
  <si>
    <t>KFC Краснознаменная</t>
  </si>
  <si>
    <t>KFC Beliy Rynok Chelyabinsk</t>
  </si>
  <si>
    <t>KFC Белый Рынок Челябинск</t>
  </si>
  <si>
    <t>454080, Россия, Челябинская область, Челябинск, Тернопольская, д. 5</t>
  </si>
  <si>
    <t>KFC0628@irb.rest</t>
  </si>
  <si>
    <t>KFC Arbat Chelyabinsk</t>
  </si>
  <si>
    <t>KFC Арбат Челябинск</t>
  </si>
  <si>
    <t>454091, Россия, Челябинская область, Челябинск, Кирова, д. 84</t>
  </si>
  <si>
    <t>KFC0627@irb.rest</t>
  </si>
  <si>
    <t>KFC Amurskiy Omsk</t>
  </si>
  <si>
    <t>KFC Амурский Омск</t>
  </si>
  <si>
    <t>644086, Россия, Омская область, Омск, 4-я Челюскинцев, д. 66</t>
  </si>
  <si>
    <t>KFC0629@irb.rest</t>
  </si>
  <si>
    <t>KFC Neftyanikov Megion</t>
  </si>
  <si>
    <t>KFC Нефтяников Мегион</t>
  </si>
  <si>
    <t>628680, Россия, Ханты-Мансийский автономный округ - Югра автономный округ, Мегион, Нефтяников, 4</t>
  </si>
  <si>
    <t>KFC0625@irb.rest</t>
  </si>
  <si>
    <t>Megion</t>
  </si>
  <si>
    <t>KFC Nora Moscow</t>
  </si>
  <si>
    <t>KFC Нора Москва</t>
  </si>
  <si>
    <t>115533, Россия, Москва, проспект Андропова, 22</t>
  </si>
  <si>
    <t>kfc23@ffm.rest</t>
  </si>
  <si>
    <t>KFС Vikonda Rybinsk</t>
  </si>
  <si>
    <t>KFC Виконда Рыбинск</t>
  </si>
  <si>
    <t>152925, Россия, Ярославская область, Рыбинск, Бабушкина д.29</t>
  </si>
  <si>
    <t>kfc-49@akrussia.com</t>
  </si>
  <si>
    <t>Rybinsk</t>
  </si>
  <si>
    <t>KFC Proletarsky Prospect Moscow</t>
  </si>
  <si>
    <t>KFC Пролетарский проспект Москва</t>
  </si>
  <si>
    <t>115522, Россия, Москва, Пролетарский проспект, 2А</t>
  </si>
  <si>
    <t>kfc22@ffm.rest</t>
  </si>
  <si>
    <t>KFC Podsolnukhi Moscow</t>
  </si>
  <si>
    <t>KFC Подсолнухи Москва</t>
  </si>
  <si>
    <t>107370, Россия, Москва, Открытое шоссе, 9</t>
  </si>
  <si>
    <t>kfc-51@akrussia.com</t>
  </si>
  <si>
    <t>KFC Torgovaya Suzdal</t>
  </si>
  <si>
    <t>KFC Торговая Суздаль</t>
  </si>
  <si>
    <t>601293, Россия, Владимирская область, Суздаль, Торговая площадь д.12/1</t>
  </si>
  <si>
    <t>kfc-50@akrussia.com</t>
  </si>
  <si>
    <t>Suzdal</t>
  </si>
  <si>
    <t>KFC City Park Novokuibyshevsk</t>
  </si>
  <si>
    <t>KFC Сити Парк Новокуйбышевск</t>
  </si>
  <si>
    <t>446204, Россия, Самарская область, Новокуйбышевск, проспект Победы, д. 1Ж</t>
  </si>
  <si>
    <t>KFC0626@irb.rest</t>
  </si>
  <si>
    <t>Novokuybishevsk</t>
  </si>
  <si>
    <t>Отправлено</t>
  </si>
  <si>
    <t>Slavyanka Saint Petersburg</t>
  </si>
  <si>
    <t>Ресторан Славянка Санкт-Петербург</t>
  </si>
  <si>
    <t>196634, Россия, Санкт-Петербург, Колпинское шоссе, дом 32, строение 1</t>
  </si>
  <si>
    <t>403347@myrest.team</t>
  </si>
  <si>
    <t>Slavy Saint Petersburg</t>
  </si>
  <si>
    <t>Ресторан Славы Санкт-Петербург</t>
  </si>
  <si>
    <t>192239, Россия, Санкт-Петербург, проспект Славы, д. 5, к. 3, лит. А</t>
  </si>
  <si>
    <t>403346@myrest.team</t>
  </si>
  <si>
    <t>KFC Morskaya shkola Ryazan</t>
  </si>
  <si>
    <t>KFC Морская школа Рязань</t>
  </si>
  <si>
    <t>390545, Россия, Рязанская область, Рязань, Солотчинское шоссе, 7</t>
  </si>
  <si>
    <t>kfc-55@akrussia.com</t>
  </si>
  <si>
    <t>KFC Морская школа Ря</t>
  </si>
  <si>
    <t>Arbat Sterlitamak</t>
  </si>
  <si>
    <t>Ресторан Арбат Стерлитамак</t>
  </si>
  <si>
    <t>453120, Россия, Башкортостан республика, Стерлитамак, ул. Артема, 96</t>
  </si>
  <si>
    <t>Kfc33@grufa.ru</t>
  </si>
  <si>
    <t>ООО "Глобал Фуд Армада Капитал"</t>
  </si>
  <si>
    <t>Ресторан Арбат Стерл</t>
  </si>
  <si>
    <t>Green Balakovo</t>
  </si>
  <si>
    <t>Ресторан Грин Балаково</t>
  </si>
  <si>
    <t>413863, Россия, Саратовская область, Балаково, Трнавская, д. 24</t>
  </si>
  <si>
    <t>green@kfc-saratov.ru</t>
  </si>
  <si>
    <t>Balakovo</t>
  </si>
  <si>
    <t>Ресторан Грин Балако</t>
  </si>
  <si>
    <t>KFC Titova Novosibirsk</t>
  </si>
  <si>
    <t>KFC Титова Новосибирск</t>
  </si>
  <si>
    <t>630120, Россия, Новосибирская область, Новосибирск, Титова, 232</t>
  </si>
  <si>
    <t>KFC0632@irb.rest</t>
  </si>
  <si>
    <t>KFC Prazdnichniy Mezhdurechensk</t>
  </si>
  <si>
    <t>KFC Праздничный Междуреченск</t>
  </si>
  <si>
    <t>652888, Россия, Кемеровская область, Междуреченск, проспект Шахтёров, дом 15а</t>
  </si>
  <si>
    <t>KFC0633@irb.rest</t>
  </si>
  <si>
    <t>Mezhdurechensk</t>
  </si>
  <si>
    <t>Univermag Zarechniy</t>
  </si>
  <si>
    <t>Ресторан Универмаг Заречный</t>
  </si>
  <si>
    <t>442964, Россия, Пензенская область, Заречный, Ленина, 42</t>
  </si>
  <si>
    <t>zarechniy@n-vkus.ru</t>
  </si>
  <si>
    <t>Zarechniy</t>
  </si>
  <si>
    <t>Ресторан Универмаг З</t>
  </si>
  <si>
    <t>KFC Maxi Chita</t>
  </si>
  <si>
    <t>KFC Макси Чита</t>
  </si>
  <si>
    <t>672038, Россия, Забайкальский край, Чита, Шилова, 100</t>
  </si>
  <si>
    <t>ChMaxi@multi-menu.com</t>
  </si>
  <si>
    <t>ООО "Джета"</t>
  </si>
  <si>
    <t>Chita</t>
  </si>
  <si>
    <t>KFC Novocity Chita</t>
  </si>
  <si>
    <t>KFC Новосити Чита</t>
  </si>
  <si>
    <t>672000, Россия, Забайкальский край, Чита, Журавлева, 79</t>
  </si>
  <si>
    <t>ChNovocity@multi-menu.com</t>
  </si>
  <si>
    <t>Nadym Nadym</t>
  </si>
  <si>
    <t>Ресторан Надым Надым</t>
  </si>
  <si>
    <t>629736, Россия, Ямало-Ненецкий автономный округ, Надым, Ленинградский проспект, стр. 11г</t>
  </si>
  <si>
    <t>NadimLen@multi-menu.com</t>
  </si>
  <si>
    <t>Nadym</t>
  </si>
  <si>
    <t>KFC Safonovo Safonovo</t>
  </si>
  <si>
    <t>KFC Сафоново Сафоново</t>
  </si>
  <si>
    <t>215541, Россия, Смоленская область, Сафоново, ул. Шахты-4, участок 20</t>
  </si>
  <si>
    <t>kfc-108@akrussia.com</t>
  </si>
  <si>
    <t>Safonovo</t>
  </si>
  <si>
    <t>KFC Сафоново Сафонов</t>
  </si>
  <si>
    <t>KFC Fakel Vladimir</t>
  </si>
  <si>
    <t>KFC Факел Владимир</t>
  </si>
  <si>
    <t>600014, Россия, Владимирская область, Владимир, пр-т. Строителей, д. 9Б</t>
  </si>
  <si>
    <t>Kfc-109@akrussia.com</t>
  </si>
  <si>
    <t>KFC Gercena Rybinsk</t>
  </si>
  <si>
    <t>KFC Герцена Рыбинск</t>
  </si>
  <si>
    <t>152934, Россия, Ярославская область, Рыбинск, ул. Герцена, д. 62 / ул. Кирова, д. 9</t>
  </si>
  <si>
    <t>kfc-115@akrussia.com</t>
  </si>
  <si>
    <t>KFC Ploshchad Pobedy Ryazan</t>
  </si>
  <si>
    <t>KFC Площадь Победы Рязань</t>
  </si>
  <si>
    <t>390013, Россия, Рязанская область, Рязань, Первомайский пр-т., д. 68/2, соор. 1</t>
  </si>
  <si>
    <t>kfc-114@akrussia.com</t>
  </si>
  <si>
    <t>KFC Площадь Победы Р</t>
  </si>
  <si>
    <t>KFC Rodnik Chelyabinsk</t>
  </si>
  <si>
    <t>KFC Родник Челябинск</t>
  </si>
  <si>
    <t>454080, Россия, Челябинская область, Челябинск, ул. Труда, 203</t>
  </si>
  <si>
    <t>KFC0636@irb.rest</t>
  </si>
  <si>
    <t>KFC Georgievsk Georgievsk</t>
  </si>
  <si>
    <t>KFC Георгиевск Георгиевск</t>
  </si>
  <si>
    <t>Россия, Ставропольский край, Георгиевск, ул. Калинина, 150Б</t>
  </si>
  <si>
    <t>kfc.georgievsk@yummy-group.ru</t>
  </si>
  <si>
    <t>Georgievsk</t>
  </si>
  <si>
    <t>KFC Orekh Moscow</t>
  </si>
  <si>
    <t>KFC Орех Москва</t>
  </si>
  <si>
    <t>Россия, Московская область, Орехово-Зуево, ул. Ленина, 78</t>
  </si>
  <si>
    <t>kfc0640@irb.rest</t>
  </si>
  <si>
    <t>KFC Ploshchad Revolyutsii Kineshma</t>
  </si>
  <si>
    <t>KFC Площадь Революции Кинешма</t>
  </si>
  <si>
    <t>155800, Россия, Ивановская область, Кинешма, пл. Революции, д.1/5</t>
  </si>
  <si>
    <t>Kfc-113@akrussia.com</t>
  </si>
  <si>
    <t>KFC Sakhalinskaya Vladivostok</t>
  </si>
  <si>
    <t>KFC Сахалинская Владивосток</t>
  </si>
  <si>
    <t>690092, Россия, Приморский край, Владивосток, Сахалинская, 41г</t>
  </si>
  <si>
    <t>KFC.Orion@goodfood-dv.ru</t>
  </si>
  <si>
    <t>KFC Сахалинская Влад</t>
  </si>
  <si>
    <t>Panorama Almetyevsk</t>
  </si>
  <si>
    <t>Ресторан Панорама Альметьевск</t>
  </si>
  <si>
    <t>423457, Россия, Татарстан республика, Альметьевск, Ленина, дом 100</t>
  </si>
  <si>
    <t>kfcpanorama@restudm.ru</t>
  </si>
  <si>
    <t>Almetyevsk</t>
  </si>
  <si>
    <t>Ресторан Панорама Ал</t>
  </si>
  <si>
    <t>Vahitovskoe koltso Nizhnekamsk</t>
  </si>
  <si>
    <t>Ресторан Вахитовское кольцо Нижнекамск</t>
  </si>
  <si>
    <t>426003, Россия, Татарстан республика, Нижнекамск, проспект Вахитова, 18Б</t>
  </si>
  <si>
    <t>kfcvk@restudm.ru</t>
  </si>
  <si>
    <t>Ресторан Вахитовско</t>
  </si>
  <si>
    <t>Sibirskiy Omsk</t>
  </si>
  <si>
    <t>Ресторан Сибирский Омск</t>
  </si>
  <si>
    <t>644109, Россия, Омская область, Омск, Сибирский проспект, д. 9</t>
  </si>
  <si>
    <t>KFC0642@irb.rest</t>
  </si>
  <si>
    <t>KFC Slavyanskiy Magnitogorsk</t>
  </si>
  <si>
    <t>KFC Славянский Магнитогорск</t>
  </si>
  <si>
    <t>455049, Россия, Челябинская область, Магнитогорск, Советская, д. 162</t>
  </si>
  <si>
    <t>KFC0639@irb.rest</t>
  </si>
  <si>
    <t>Gagarina Beryozovsky</t>
  </si>
  <si>
    <t>Ресторан Гагарина Берёзовский</t>
  </si>
  <si>
    <t>623701, Россия, Свердловская область, Берёзовский, Гагарина, д. 20</t>
  </si>
  <si>
    <t>kfc0644@irb.rest</t>
  </si>
  <si>
    <t>Beryozovsky</t>
  </si>
  <si>
    <t>Ресторан Гагарина Бе</t>
  </si>
  <si>
    <t>KFC Torgovaya Abakan</t>
  </si>
  <si>
    <t>KFC Торговая Абакан</t>
  </si>
  <si>
    <t>655010, Россия, Хакасия республика, Абакан, Торговая, дом 5</t>
  </si>
  <si>
    <t>KFC0637@irb.rest</t>
  </si>
  <si>
    <t>Abakan</t>
  </si>
  <si>
    <t>KFC Mir Koshelev Samara</t>
  </si>
  <si>
    <t>KFC Мир Кошелев Самара</t>
  </si>
  <si>
    <t>443028, Россия, Самарская область, Самара, Мира, д. 9а</t>
  </si>
  <si>
    <t>KFC0641@irb.rest</t>
  </si>
  <si>
    <t>KFC Taganrogskaya Rostov-on-Don</t>
  </si>
  <si>
    <t>KFC Таганрогская Ростов-на-Дону</t>
  </si>
  <si>
    <t>344016, Россия, Ростовская область, Ростов-на-Дону, ул. Таганрогская, 175Д.</t>
  </si>
  <si>
    <t>kfc.taganrogskaya@yummy.rest</t>
  </si>
  <si>
    <t>KFC Teatralniy Rostov-on-Don</t>
  </si>
  <si>
    <t>KFC Театральный Ростов-на-Дону</t>
  </si>
  <si>
    <t>344010, Россия, Ростовская область, Ростов-на-Дону, Театральный проспект, 50А</t>
  </si>
  <si>
    <t>kfc.teatralny@yummy.rest</t>
  </si>
  <si>
    <t>KFC Platovskiy Novocherkassk</t>
  </si>
  <si>
    <t>KFC Платовский Новочеркасск</t>
  </si>
  <si>
    <t>346410, Россия, Ростовская область, Новочеркасск, Дворцовая улица, 6</t>
  </si>
  <si>
    <t>kfc.platovsky@yummy-group.ru</t>
  </si>
  <si>
    <t>Novocherkassk</t>
  </si>
  <si>
    <t>KFC Oktyabrskiy Cherepovetc</t>
  </si>
  <si>
    <t>KFC Октябрьский Череповец</t>
  </si>
  <si>
    <t>162609, Россия, Вологодская область, Череповец, Октябрьский пр-т, д. 55</t>
  </si>
  <si>
    <t>403348@myrest.team</t>
  </si>
  <si>
    <t>Lenta Pavlovskiy trakt Barnaul</t>
  </si>
  <si>
    <t>Ресторан Лента Павловский тракт Барнаул</t>
  </si>
  <si>
    <t>656057, Россия, Алтайский край, Барнаул, Павловский тракт, 156</t>
  </si>
  <si>
    <t>kfcauto@ffaltay.ru</t>
  </si>
  <si>
    <t>Ресторан Лента Павло</t>
  </si>
  <si>
    <t>Leto Barnaul</t>
  </si>
  <si>
    <t>Ресторан Лето Барнаул</t>
  </si>
  <si>
    <t>656057, Россия, Алтайский край, Барнаул, Павловский тракт, 251, ТЦ Лето, 1 этаж</t>
  </si>
  <si>
    <t>kfcleto@ffaltay.ru</t>
  </si>
  <si>
    <t>Ресторан Лето Барнау</t>
  </si>
  <si>
    <t>KFC Yegoryevsk Moscow</t>
  </si>
  <si>
    <t>KFC Егорьевск Москва</t>
  </si>
  <si>
    <t>140301, Россия, Московская область, Егорьевск, Советская д.113</t>
  </si>
  <si>
    <t>KFC0643@irb.rest</t>
  </si>
  <si>
    <t>Yegoryevsk</t>
  </si>
  <si>
    <t>KFC Urasa Yakutsk</t>
  </si>
  <si>
    <t>KFC Ураса Якутск</t>
  </si>
  <si>
    <t>677004, Россия, Саха /Якутия республика, Якутск, ул. Автострада 50 лет Октября, дом 6</t>
  </si>
  <si>
    <t>YKUrasa@multi-menu.com</t>
  </si>
  <si>
    <t>Doroga Zhizni Vsevolojsk</t>
  </si>
  <si>
    <t>Ресторан Дорога жизни Всеволожск</t>
  </si>
  <si>
    <t>188640, Россия, Ленинградская область, Всеволожск, шоссе Дорога жизни, 24/85</t>
  </si>
  <si>
    <t>403345@myrest.team</t>
  </si>
  <si>
    <t>KFC Baykal Moscow</t>
  </si>
  <si>
    <t>KFC Байкал Москва</t>
  </si>
  <si>
    <t>125008, Россия, Москва, Михалковская ул., 4А</t>
  </si>
  <si>
    <t>kfc-baikal@qsr-pro.com</t>
  </si>
  <si>
    <t>ООО "КФС-Байкал"</t>
  </si>
  <si>
    <t>Pervyi Novomoskovsk</t>
  </si>
  <si>
    <t>Ресторан Первый Новомосковск</t>
  </si>
  <si>
    <t>301650, Россия, Тульская область, Новомосковск, ул. Трудовых резервов 33б, ТЦ «Первый»</t>
  </si>
  <si>
    <t>novomoskovsk.pervy@katubr.ru</t>
  </si>
  <si>
    <t>Novomoskovsk</t>
  </si>
  <si>
    <t>Ресторан Первый Ново</t>
  </si>
  <si>
    <t>Landysh Penza</t>
  </si>
  <si>
    <t>Ресторан Ландыш Пенза</t>
  </si>
  <si>
    <t>440026, Россия, Пензенская область, Пенза, Лермонтова, 36А</t>
  </si>
  <si>
    <t>landysh@kfc-penza.ru</t>
  </si>
  <si>
    <t>Ресторан Ландыш Пенз</t>
  </si>
  <si>
    <t>Electra Saint Petersburg</t>
  </si>
  <si>
    <t>Ресторан Электра Санкт-Петербург</t>
  </si>
  <si>
    <t>196105, Россия, Санкт-Петербург, Московский проспект, д. 137, лит. Б</t>
  </si>
  <si>
    <t>403350@myrest.team</t>
  </si>
  <si>
    <t>KFC Center Goroda Krasnodar</t>
  </si>
  <si>
    <t>KFC Центр Города Краснодар</t>
  </si>
  <si>
    <t>350020, Россия, Краснодарский край, Краснодар, ул. Красная, д. 176-178</t>
  </si>
  <si>
    <t>403349@myrest.team</t>
  </si>
  <si>
    <t>KFC Ostrov Mechty Moscow</t>
  </si>
  <si>
    <t>KFC Остров Мечты Москва</t>
  </si>
  <si>
    <t>115533, Россия, Москва, проспект Андропова, дом, 1</t>
  </si>
  <si>
    <t>kfc24@ffm.rest</t>
  </si>
  <si>
    <t>KFC Остров Мечты Мос</t>
  </si>
  <si>
    <t>KFC Holodilny Moscow</t>
  </si>
  <si>
    <t>KFC Холодильный Москва</t>
  </si>
  <si>
    <t>115191, Россия, Москва, Большая Тульская, д 11</t>
  </si>
  <si>
    <t>kfc11@ffm.rest</t>
  </si>
  <si>
    <t>KFC More Vladivostok</t>
  </si>
  <si>
    <t>KFC Море Владивосток</t>
  </si>
  <si>
    <t>690007, Россия, Приморский край, Владивосток, ул. Некрасовская, д. 49А</t>
  </si>
  <si>
    <t>KFC.More@goodfood-dv.ru</t>
  </si>
  <si>
    <t>KFC Druzhba Vladivostok</t>
  </si>
  <si>
    <t>KFC Дружба Владивосток</t>
  </si>
  <si>
    <t>690039, Россия, Приморский край, Владивосток, ул. Русская, д. 2K</t>
  </si>
  <si>
    <t>KFC.Druzhba@goodfood-dv.ru</t>
  </si>
  <si>
    <t>KFC Дружба Владивост</t>
  </si>
  <si>
    <t>KFC ZHD Vokzal Khabarovsk</t>
  </si>
  <si>
    <t>KFC ЖД Вокзал Хабаровск</t>
  </si>
  <si>
    <t>680021, Россия, Хабаровский край, Хабаровск, ул. Ленинградская, д. 81</t>
  </si>
  <si>
    <t>KFC.Leningradskaya@goodfood-dv.ru</t>
  </si>
  <si>
    <t>KFC ЖД Вокзал Хабаро</t>
  </si>
  <si>
    <t>KFC Rodina Yaroslavl</t>
  </si>
  <si>
    <t>KFC Родина Ярославль</t>
  </si>
  <si>
    <t>150003, Россия, Ярославская область, Ярославль, Республиканская улица, д. 7А</t>
  </si>
  <si>
    <t>kfc-111@akrussia.com</t>
  </si>
  <si>
    <t>KFC Disсоvery Hovrino Moscow</t>
  </si>
  <si>
    <t>KFC Дискавери Ховрино Москва</t>
  </si>
  <si>
    <t>125475, Россия, Москва, г. Москва, ул. Дыбенко, вл. 7/1</t>
  </si>
  <si>
    <t>kfc-112@akrussia.com</t>
  </si>
  <si>
    <t>KFC Armada 2 Orenburg</t>
  </si>
  <si>
    <t>KFC Армада 2 Оренбург</t>
  </si>
  <si>
    <t>460008, Россия, Оренбургская область, Оренбург, шоссе Нежинское, дом 2Б</t>
  </si>
  <si>
    <t>Kfc34@grufa.ru</t>
  </si>
  <si>
    <t>ООО "Глобал Фуд ГДК"</t>
  </si>
  <si>
    <t>KFС Rostov Rostov</t>
  </si>
  <si>
    <t>KFC Ростов Ростов</t>
  </si>
  <si>
    <t>152155, Россия, Ярославская область, Ростов, ул. Достоевского д. 13</t>
  </si>
  <si>
    <t>kfc-110@akrussia.com</t>
  </si>
  <si>
    <t>Rostov</t>
  </si>
  <si>
    <t>Ekvator Kuznetsk</t>
  </si>
  <si>
    <t>Ресторан Экватор Кузнецк</t>
  </si>
  <si>
    <t>442537, Россия, Пензенская область, Кузнецк, ул. Победы, д.17</t>
  </si>
  <si>
    <t>equator@n-vkus.ru</t>
  </si>
  <si>
    <t>Kuznetsk</t>
  </si>
  <si>
    <t>Ресторан Экватор Куз</t>
  </si>
  <si>
    <t>KFC Zeleniy Bereg Tyumen</t>
  </si>
  <si>
    <t>KFC Зеленый берег Тюмень</t>
  </si>
  <si>
    <t>625022, Россия, Тюменская область, Тюмень, ул. Алебашевская, д.19</t>
  </si>
  <si>
    <t>KFC0650@irb.rest</t>
  </si>
  <si>
    <t>KFC Sovetskaya Syzran</t>
  </si>
  <si>
    <t>KFC Советская Сызрань</t>
  </si>
  <si>
    <t>446001, Россия, Самарская область, Сызрань, ул. Советская, д. 7</t>
  </si>
  <si>
    <t>kfc0645@irb.rest</t>
  </si>
  <si>
    <t>Syzran</t>
  </si>
  <si>
    <t>KFC Mongora Syzran</t>
  </si>
  <si>
    <t>KFC Монгора Сызрань</t>
  </si>
  <si>
    <t>446031, Россия, Самарская область, Сызрань, проспект 50 лет Октября, д. 54А</t>
  </si>
  <si>
    <t>KFC0646@irb.rest</t>
  </si>
  <si>
    <t>KFC Aeroexpress Sheremetyevo Moscow</t>
  </si>
  <si>
    <t>KFC Аэроэкспресс Шереметьево Москва</t>
  </si>
  <si>
    <t>141425, Россия, Московская область, Химки, Международный Аэропорт Шереметьево, строение Е2, 
 помещение 3</t>
  </si>
  <si>
    <t>KFC0647@irb.rest</t>
  </si>
  <si>
    <t>KFC Idea Voljskiy</t>
  </si>
  <si>
    <t>KFC Идея Волжский</t>
  </si>
  <si>
    <t>404104, Россия, Волгоградская область, Волжский, площадь Труда, 10</t>
  </si>
  <si>
    <t>KFC0648@irb.rest</t>
  </si>
  <si>
    <t>Voljskiy</t>
  </si>
  <si>
    <t>Respubliki Salekhard</t>
  </si>
  <si>
    <t>Ресторан Республики Салехард</t>
  </si>
  <si>
    <t>629007, Россия, Ямало-Ненецкий автономный округ, Салехард, ул. Республики, 47а</t>
  </si>
  <si>
    <t>ShRespubliki@multi-menu.com</t>
  </si>
  <si>
    <t>Salekhard</t>
  </si>
  <si>
    <t>Ресторан Республики</t>
  </si>
  <si>
    <t>KFC Tayga Bratsk</t>
  </si>
  <si>
    <t>KFC Тайга Братск</t>
  </si>
  <si>
    <t>665717, Россия, Иркутская область, Братск, Мира, 35</t>
  </si>
  <si>
    <t>BrTayga@multi-menu.com</t>
  </si>
  <si>
    <t>Bratsk</t>
  </si>
  <si>
    <t>Kuvshinka Moscow</t>
  </si>
  <si>
    <t>Ресторан Кувшинка Москва</t>
  </si>
  <si>
    <t>119602, Россия, Москва, ул. Озёрная, 33, ТЦ Кувшинка</t>
  </si>
  <si>
    <t>kfc.kuvshinka@gmail.com</t>
  </si>
  <si>
    <t>8 (499) 917-04-00</t>
  </si>
  <si>
    <t>ООО "Диадема 7"</t>
  </si>
  <si>
    <t>KFC Кувшинка Москва</t>
  </si>
  <si>
    <t>Sputnik Yurga</t>
  </si>
  <si>
    <t>Ресторан Спутник Юрга</t>
  </si>
  <si>
    <t>652057, Россия, Кемеровская область, Юрга, ул. Машиностроителей, 32</t>
  </si>
  <si>
    <t>kfc_spytnik_yurga@kfc42.ru</t>
  </si>
  <si>
    <t>Yurga</t>
  </si>
  <si>
    <t>Ресторан Спутник Юрг</t>
  </si>
  <si>
    <t>Esplanada Perm</t>
  </si>
  <si>
    <t>Ресторан Эспланада Пермь</t>
  </si>
  <si>
    <t>Россия, Пермский край, Пермь, ул. Петропавловская, д. 73а</t>
  </si>
  <si>
    <t>kfces@restudm.ru</t>
  </si>
  <si>
    <t>Ресторан Эспланада П</t>
  </si>
  <si>
    <t>City Mall Saratov</t>
  </si>
  <si>
    <t>Ресторан Сити Молл Саратов</t>
  </si>
  <si>
    <t>412305, Россия, Саратовская область, Саратов, Ново-Астраханское шоссе, д. 80, пом. 16, 17</t>
  </si>
  <si>
    <t>citymall@sar.res</t>
  </si>
  <si>
    <t>KFC Leningradskiy Yaroslavl</t>
  </si>
  <si>
    <t>KFC Ленинградский Ярославль</t>
  </si>
  <si>
    <t>150044, Россия, Ярославская область, Ярославль, Ленинградский пр-т, д. 40 А</t>
  </si>
  <si>
    <t>Kfc-116@akrussia.com</t>
  </si>
  <si>
    <t>KFС L-City Lipetsk</t>
  </si>
  <si>
    <t>KFC L-Сити Липецк</t>
  </si>
  <si>
    <t>398008, Россия, Липецкая область, Липецк, ул. 50 лет НЛМК, д. 4А</t>
  </si>
  <si>
    <t>Kfc-117@akrussia.com</t>
  </si>
  <si>
    <t>KFC Yuzhny Voskhod Stavropol</t>
  </si>
  <si>
    <t>KFC Южный Восход Ставрополь</t>
  </si>
  <si>
    <t>355021, Россия, Ставропольский край, город Ставрополь, ул. Южный обход, д. 55</t>
  </si>
  <si>
    <t>kfc.yuzhnyy@yummy-group.ru</t>
  </si>
  <si>
    <t>KFC Kamensk Narodny Kamensk-Shakhtinskiy</t>
  </si>
  <si>
    <t>KFC Каменск Народный Каменск-Шахтинский</t>
  </si>
  <si>
    <t>347800, Россия, Ростовская область, Каменск-Шахтинский, ул. Народная, д. 11</t>
  </si>
  <si>
    <t>kfc.narodny@yummy-group.ru</t>
  </si>
  <si>
    <t>Kamensk-Shakhtinskiy</t>
  </si>
  <si>
    <t>KFC Pokorivshiy Mikhaylovsk</t>
  </si>
  <si>
    <t>KFC Покоривший Михайловск</t>
  </si>
  <si>
    <t>356242, Россия, Ставропольский край, Михайловск, ул. Ивана Бурмистрова, д. 48</t>
  </si>
  <si>
    <t>kfc.mikhaylovsk@yummy.rest</t>
  </si>
  <si>
    <t>Mikhaylovsk</t>
  </si>
  <si>
    <t>KFС Yubileynaya Chernogorsk</t>
  </si>
  <si>
    <t>KFC Юбилейная Черногорск</t>
  </si>
  <si>
    <t>655158, Россия, Хакасия республика, Черногорск, ул. Юбилейная, д. 20А</t>
  </si>
  <si>
    <t>KFC0652@irb.rest</t>
  </si>
  <si>
    <t>Chernogorsk</t>
  </si>
  <si>
    <t>KFC Lenta Pobedy Surgut</t>
  </si>
  <si>
    <t>KFC Лента Победы Сургут</t>
  </si>
  <si>
    <t>628406, Россия, Ханты-Мансийский автономный округ - Югра автономный округ, Сургут, Восточный район, 31Б микрорайон, ул. 30 лет Победы, д. 74</t>
  </si>
  <si>
    <t>KFC0653@irb.rest</t>
  </si>
  <si>
    <t>KFC Lenina Orsk</t>
  </si>
  <si>
    <t>KFC Ленина Орск</t>
  </si>
  <si>
    <t>462431, Россия, Оренбургская область, Орск, пр-т. Ленина, д. 75А</t>
  </si>
  <si>
    <t>kfc35@grufa.ru</t>
  </si>
  <si>
    <t>ООО "Глобал Фуд Орск"</t>
  </si>
  <si>
    <t>Orsk</t>
  </si>
  <si>
    <t>Lomonosovskaya Saint Petersburg</t>
  </si>
  <si>
    <t>Ресторан Ломоносовская Санкт-Петербург</t>
  </si>
  <si>
    <t>192171, Россия, Санкт-Петербург, Бабушкина, д. 40, строение 1</t>
  </si>
  <si>
    <t>403321@myrest.team</t>
  </si>
  <si>
    <t>Parus Moscow</t>
  </si>
  <si>
    <t>Ресторан Парус Москва</t>
  </si>
  <si>
    <t>127238, Россия, Москва, Локомотивный проезд, д. 4</t>
  </si>
  <si>
    <t>kfc-parus@qsr-pro.com</t>
  </si>
  <si>
    <t>ООО "ПБО Парус"</t>
  </si>
  <si>
    <t>KFC Rechnoy Moscow</t>
  </si>
  <si>
    <t>KFC Речной Москва</t>
  </si>
  <si>
    <t>125565, Россия, Москва, Фестивальная, ул.13. к.1</t>
  </si>
  <si>
    <t>kfc-rechnoy@qsr-pro.com</t>
  </si>
  <si>
    <t>KFC Flotilia Moscow</t>
  </si>
  <si>
    <t>KFC Флотилия Москва</t>
  </si>
  <si>
    <t>125581, Россия, Москва, Флотская ул., д.7, стр. 1</t>
  </si>
  <si>
    <t>kfc-flotilya@qsr-pro.com</t>
  </si>
  <si>
    <t>Plaza Obninsk</t>
  </si>
  <si>
    <t>Ресторан Плаза Обнинск</t>
  </si>
  <si>
    <t>249034, Россия, Калужская область, Обнинск, пр. Маркса, 45, ТРК «Триумф Плаза »</t>
  </si>
  <si>
    <t>obninsk.plaza@katubr.ru</t>
  </si>
  <si>
    <t>ООО "Сатурн-2"</t>
  </si>
  <si>
    <t>Obninsk</t>
  </si>
  <si>
    <t>Ресторан Плаза Обнин</t>
  </si>
  <si>
    <t>KFC Krygina Vladivostok</t>
  </si>
  <si>
    <t>KFC Крыгина Владивосток</t>
  </si>
  <si>
    <t>690065, Россия, Приморский край, Владивосток, Крыгина, 12</t>
  </si>
  <si>
    <t>KFC.Krygina@goodfood-dv.ru</t>
  </si>
  <si>
    <t>KFC Крыгина Владивос</t>
  </si>
  <si>
    <t>Bumerang Novy Urengoy</t>
  </si>
  <si>
    <t>Ресторан Бумеранг Новый Уренгой</t>
  </si>
  <si>
    <t>629309, Россия, Ямало-Ненецкий автономный округ, Новый Уренгой, ул. Северная коммунальная зона, 4</t>
  </si>
  <si>
    <t>nubumerang@multi-menu.com</t>
  </si>
  <si>
    <t>Ресторан Бумеранг Но</t>
  </si>
  <si>
    <t>KFC Gorod Kosino Moscow</t>
  </si>
  <si>
    <t>KFC Город Косино Москва</t>
  </si>
  <si>
    <t>111625, Россия, Московская область, Московская область, Новоухтомское шоссе, вл. 2а</t>
  </si>
  <si>
    <t>kfc0655@irb.rest</t>
  </si>
  <si>
    <t>Yula Ekaterinburg</t>
  </si>
  <si>
    <t>Ресторан Юла Екатеринбург</t>
  </si>
  <si>
    <t>620036, Россия, Свердловская область, Екатеринбург, Евгения Савкова, д. 41</t>
  </si>
  <si>
    <t>KFC0657@irb.rest</t>
  </si>
  <si>
    <t>Ресторан Юла Екатери</t>
  </si>
  <si>
    <t>KFC Shosseynaya Moscow</t>
  </si>
  <si>
    <t>KFC Шоссейная Москва</t>
  </si>
  <si>
    <t>109548, Россия, Москва, Шоссейная ул., 34</t>
  </si>
  <si>
    <t>kfc-shosseynaya@qsr-pro.com</t>
  </si>
  <si>
    <t>KFC Verhnie Kotly Moscow</t>
  </si>
  <si>
    <t>KFC Верхние котлы Москва</t>
  </si>
  <si>
    <t>117105, Россия, Москва, Нагорный проезд, д. 2Б</t>
  </si>
  <si>
    <t>kfc25@ffm.rest</t>
  </si>
  <si>
    <t>KFC Верхние котлы Мо</t>
  </si>
  <si>
    <t>Leto City Kemerovo</t>
  </si>
  <si>
    <t>Ресторан Лето Сити Кемерово</t>
  </si>
  <si>
    <t>650065, Россия, Кемеровская область, Кемерово, пр-т Московский, 19</t>
  </si>
  <si>
    <t>kfc_letocity_kemerovo@kfc42.ru</t>
  </si>
  <si>
    <t>Ресторан Лето Сити К</t>
  </si>
  <si>
    <t>KFC Sovetskaya Roslavl</t>
  </si>
  <si>
    <t>KFC Советская Рославль</t>
  </si>
  <si>
    <t>216500, Россия, Смоленская область, Рославль, Советская, д. 84-а</t>
  </si>
  <si>
    <t>kfc-118@akrussia.com</t>
  </si>
  <si>
    <t>Roslavl</t>
  </si>
  <si>
    <t>KFC Советская Рослав</t>
  </si>
  <si>
    <t>KFC Skala Samara</t>
  </si>
  <si>
    <t>KFC Скала Самара</t>
  </si>
  <si>
    <t>443013, Россия, Самарская область, Самара, Московское шоссе, 4с15</t>
  </si>
  <si>
    <t>KFC0663@irb.rest</t>
  </si>
  <si>
    <t>Terminal B Dubna Moscow</t>
  </si>
  <si>
    <t>Ресторан Терминал Б Дубна Москва</t>
  </si>
  <si>
    <t>141981, Россия, Московская область, Дубна, проспект Боголюбова, 19</t>
  </si>
  <si>
    <t>kfc0699@irb.rest</t>
  </si>
  <si>
    <t>Dubna</t>
  </si>
  <si>
    <t>KFC Lenina Berdsk</t>
  </si>
  <si>
    <t>KFC Ленина Бердск</t>
  </si>
  <si>
    <t>633010, Россия, Новосибирская область, Бердск, Ленина, 90</t>
  </si>
  <si>
    <t>KFC0661@irb.rest</t>
  </si>
  <si>
    <t>Boom Bryansk</t>
  </si>
  <si>
    <t>Ресторан Бум Брянск</t>
  </si>
  <si>
    <t>241035, Россия, Брянская область, Брянск, ул. 3 Интернационала, 8</t>
  </si>
  <si>
    <t>boombryansk@yandex.ru</t>
  </si>
  <si>
    <t>KFC Blyuhera Novosibirsk</t>
  </si>
  <si>
    <t>KFC Блюхера Новосибирск</t>
  </si>
  <si>
    <t>630073, Россия, Новосибирская область, Новосибирск, Блюхера, 71 в</t>
  </si>
  <si>
    <t>KFC0662@irb.rest</t>
  </si>
  <si>
    <t>KFC Samolet Zhukovsky Moscow</t>
  </si>
  <si>
    <t>KFC Самолёт Жуковский Москва</t>
  </si>
  <si>
    <t>140180, Россия, Московская область, Жуковский, ул. Гагарина, д. 60а</t>
  </si>
  <si>
    <t>KFC0660@irb.rest</t>
  </si>
  <si>
    <t>KFC Port-Artur Kansk</t>
  </si>
  <si>
    <t>KFC Порт-Артур Канск</t>
  </si>
  <si>
    <t>663604, Россия, Красноярский край, Канск, ул. 40 лет Октября, 62/4</t>
  </si>
  <si>
    <t>KFC0670@irb.rest</t>
  </si>
  <si>
    <t>Kansk</t>
  </si>
  <si>
    <t>KFC Vesna Lytkarino Moscow</t>
  </si>
  <si>
    <t>KFC Весна Лыткарино Москва</t>
  </si>
  <si>
    <t>140080, Россия, Московская область, Лыткарино, ул. Парковая, с. 2</t>
  </si>
  <si>
    <t>KFC0665@irb.rest</t>
  </si>
  <si>
    <t>Lytkarino</t>
  </si>
  <si>
    <t>KFC Tsentralniy rynok Magnitogorsk</t>
  </si>
  <si>
    <t>KFC Центральный рынок Магнитогорск</t>
  </si>
  <si>
    <t>455023, Россия, Челябинская область, Магнитогорск, проспект Карла Маркса 74, к. 3</t>
  </si>
  <si>
    <t>KFC0659@irb.rest</t>
  </si>
  <si>
    <t>Gorizont Penza</t>
  </si>
  <si>
    <t>Ресторан Горизонт Пенза</t>
  </si>
  <si>
    <t>440031, Россия, Пензенская область, Пенза, ул. Кижеватова, 8</t>
  </si>
  <si>
    <t>gorizont@n-vkus.ru</t>
  </si>
  <si>
    <t>Ресторан Горизонт Пе</t>
  </si>
  <si>
    <t>Europa Revda</t>
  </si>
  <si>
    <t>Ресторан Европа Ревда</t>
  </si>
  <si>
    <t>623280, Россия, Свердловская область, Ревда, ул. Российская, д. 21</t>
  </si>
  <si>
    <t>KFC0671@irb.rest</t>
  </si>
  <si>
    <t>Revda</t>
  </si>
  <si>
    <t>Ресторан Европа Ревд</t>
  </si>
  <si>
    <t>Sun of Moscow Moscow</t>
  </si>
  <si>
    <t>Ресторан Солнце Москвы Москва</t>
  </si>
  <si>
    <t>129515, Россия, Москва, 2-ая Останкинская улица, дом 3</t>
  </si>
  <si>
    <t>KFC0672@irb.rest</t>
  </si>
  <si>
    <t>Passage Balashov</t>
  </si>
  <si>
    <t>Ресторан Пассаж Балашов</t>
  </si>
  <si>
    <t>412311, Россия, Саратовская область, Балашов, ул. Энтузиастов д.1</t>
  </si>
  <si>
    <t>passage@kfc-saratov.ru</t>
  </si>
  <si>
    <t>Balashov</t>
  </si>
  <si>
    <t>Ресторан Пассаж Бала</t>
  </si>
  <si>
    <t>Akvarel Belovo</t>
  </si>
  <si>
    <t>Ресторан Акварель Белово</t>
  </si>
  <si>
    <t>652600, Россия, Кемеровская область, Белово, Ленина, 5</t>
  </si>
  <si>
    <t>kfc_belovo@kfc42.ru</t>
  </si>
  <si>
    <t>Belovo</t>
  </si>
  <si>
    <t>Ресторан Акварель Бе</t>
  </si>
  <si>
    <t>KFC Fermerskiy Orenburg</t>
  </si>
  <si>
    <t>KFC Фермерский Оренбург</t>
  </si>
  <si>
    <t>460056, Россия, Оренбургская область, Оренбург, Загородное шоссе, здание 36/2, строение 3</t>
  </si>
  <si>
    <t>kfc36@grufa.ru</t>
  </si>
  <si>
    <t>ООО "Глобал Фуд Чкалова"</t>
  </si>
  <si>
    <t>KFC Derbentskiy Makhachkala</t>
  </si>
  <si>
    <t>KFC Дербентский Махачкала</t>
  </si>
  <si>
    <t>367000, Россия, Дагестан республика, Махачкала, Дербентское шоссе, зд. 48</t>
  </si>
  <si>
    <t>kfc.ametkhana@yummy.rest</t>
  </si>
  <si>
    <t>KFC Lenta Sholokhovo Moscow</t>
  </si>
  <si>
    <t>KFC Лента Шолохово Москва</t>
  </si>
  <si>
    <t>141052, Россия, Московская область, д Шолохово, Дмитровское ш., 10</t>
  </si>
  <si>
    <t>KFC0684@irb.rest</t>
  </si>
  <si>
    <t>KFC Tsentralniy rynok Kurgan</t>
  </si>
  <si>
    <t>KFC Центральный рынок Курган</t>
  </si>
  <si>
    <t>640018, Россия, Курганская область, Курган, ул. Пролетарская, 11</t>
  </si>
  <si>
    <t>KFC0681@irb.rest</t>
  </si>
  <si>
    <t>KFC Zvezda Kashira Moscow</t>
  </si>
  <si>
    <t>KFC Звезда Кашира Москва</t>
  </si>
  <si>
    <t>142904, Россия, Московская область, Кашира, ул. Садовая, 32</t>
  </si>
  <si>
    <t>KFC0679@irb.rest</t>
  </si>
  <si>
    <t>Kashira</t>
  </si>
  <si>
    <t>KFC Marivanna Tolyatti</t>
  </si>
  <si>
    <t>KFC Мариванна Тольятти</t>
  </si>
  <si>
    <t>445017, Россия, Самарская область, Тольятти, улица Гагарина, 1</t>
  </si>
  <si>
    <t>KFC0680@irb.rest</t>
  </si>
  <si>
    <t>KFC Atrium Novosibirsk</t>
  </si>
  <si>
    <t>KFC Атриум Новосибирск</t>
  </si>
  <si>
    <t>630111, Россия, Новосибирская область, Новосибирск, Ипподромская улица, 46</t>
  </si>
  <si>
    <t>KFC0682@irb.rest</t>
  </si>
  <si>
    <t>Soyuz Dzerzhinsk</t>
  </si>
  <si>
    <t>Ресторан Союз Дзержинск</t>
  </si>
  <si>
    <t>606034, Россия, Нижегородская область, Дзержинск, проспект Циолковского, 76</t>
  </si>
  <si>
    <t>KFC0677@irb.rest</t>
  </si>
  <si>
    <t>Dzerjinsk</t>
  </si>
  <si>
    <t>Ресторан Союз Дзержи</t>
  </si>
  <si>
    <t>Udarnik Dzerzhinsk</t>
  </si>
  <si>
    <t>Ресторан Ударник Дзержинск</t>
  </si>
  <si>
    <t>606000, Россия, Нижегородская область, Дзержинск, проспект Ленина, 64</t>
  </si>
  <si>
    <t>KFC0676@irb.rest</t>
  </si>
  <si>
    <t>Ресторан Ударник Дзе</t>
  </si>
  <si>
    <t>KFC Mikhailovskiy Mikhailovka</t>
  </si>
  <si>
    <t>KFC Михайловский Михайловка</t>
  </si>
  <si>
    <t>403348, Россия, Волгоградская область, Михайловка, 2-я Краснознаменская улица, 49</t>
  </si>
  <si>
    <t>KFC0688@irb.rest</t>
  </si>
  <si>
    <t>Mikhaylovka</t>
  </si>
  <si>
    <t>KFC Kievskiy Moscow</t>
  </si>
  <si>
    <t>KFC Киевский Москва</t>
  </si>
  <si>
    <t>121059, Россия, Москва, площадь Киевского Вокзала, 2</t>
  </si>
  <si>
    <t>kfc-kievskij-1188@cityrst.ru</t>
  </si>
  <si>
    <t>KFC Kurskiy 2 Moscow</t>
  </si>
  <si>
    <t>KFC Курский 2 Москва</t>
  </si>
  <si>
    <t>105064, Россия, Москва, Земляной Вал, 29, стр. 1</t>
  </si>
  <si>
    <t>kfc-kurskij2@cityrst.ru</t>
  </si>
  <si>
    <t>KFC Kuznechiki Podolsk</t>
  </si>
  <si>
    <t>KFC Кузнечики Подольск</t>
  </si>
  <si>
    <t>142121, Россия, Московская область, Подольск, ул. Академика Доллежаля, д. 39, к. 6</t>
  </si>
  <si>
    <t>KFC0687@irb.rest</t>
  </si>
  <si>
    <t>KFC Zebra Omsk</t>
  </si>
  <si>
    <t>KFC Зебра Омск</t>
  </si>
  <si>
    <t>644119, Россия, Омская область, Омск, проспект Комарова, 8к1</t>
  </si>
  <si>
    <t>KFC0686@irb.rest</t>
  </si>
  <si>
    <t>KFC Mutalieva Nazran</t>
  </si>
  <si>
    <t>KFC Муталиева Назрань</t>
  </si>
  <si>
    <t>386106, Россия, Ингушетия республика, Назрань, ул. Х.Б. Муталиева, д.1</t>
  </si>
  <si>
    <t>KFC.mutalieva@yummy-group.ru</t>
  </si>
  <si>
    <t>Nazran</t>
  </si>
  <si>
    <t>Speshilova Perm</t>
  </si>
  <si>
    <t>Ресторан Спешилова Пермь</t>
  </si>
  <si>
    <t>614068, Россия, Пермский край, Пермь, ул. Спешилова, 104</t>
  </si>
  <si>
    <t>kfcspeshi@restudm.ru</t>
  </si>
  <si>
    <t>Ресторан Спешилова П</t>
  </si>
  <si>
    <t>KFC Nefteyuganskoe shosse Surgut</t>
  </si>
  <si>
    <t>KFC Нефтеюганское шоссе Сургут</t>
  </si>
  <si>
    <t>628404, Россия, Ханты-Мансийский автономный округ - Югра автономный округ, Сургут, Нефтеюганское шоссе, д.16/1</t>
  </si>
  <si>
    <t>KFC0689@irb.rest</t>
  </si>
  <si>
    <t>Oktyabrskiy Oktyabrskiy</t>
  </si>
  <si>
    <t>Ресторан Октябрьский Октябрьский</t>
  </si>
  <si>
    <t>452602, Россия, Башкортостан республика, Октябрьский, проспект Ленина, зд. 41а</t>
  </si>
  <si>
    <t>kfc37@grufa.ru</t>
  </si>
  <si>
    <t>ООО "Глобал Фуд Октябрьский"</t>
  </si>
  <si>
    <t>Oktyabrsky</t>
  </si>
  <si>
    <t>Ресторан Октябрьский</t>
  </si>
  <si>
    <t>Siesta Moscow</t>
  </si>
  <si>
    <t>Ресторан Сиеста Москва</t>
  </si>
  <si>
    <t>108814, Россия, Москва, поселение Сосенское, ул. Николо–Хованская, 7, стр. 1</t>
  </si>
  <si>
    <t>KFC0685@irb.rest</t>
  </si>
  <si>
    <t>KFC Lenta Elizarovykh Tomsk</t>
  </si>
  <si>
    <t>KFC Лента Елизаровых Томск</t>
  </si>
  <si>
    <t>634012, Россия, Томская область, Томск, Елизаровых, 13</t>
  </si>
  <si>
    <t>kfc0690@irb.rest</t>
  </si>
  <si>
    <t>Lipki Saratov</t>
  </si>
  <si>
    <t>Ресторан Липки Саратов</t>
  </si>
  <si>
    <t>410031, Россия, Саратовская область, Саратов, ул. Волжская, д. 28</t>
  </si>
  <si>
    <t>lipky@kfc-saratov.ru</t>
  </si>
  <si>
    <t>Ресторан Липки Сарат</t>
  </si>
  <si>
    <t>KFC Veresaeva Rostov-on-Don</t>
  </si>
  <si>
    <t>KFC Вересаева Ростов-на-Дону</t>
  </si>
  <si>
    <t>344072, Россия, Ростовская область, Ростов-на-Дону, ул. Вересаева, д. 98</t>
  </si>
  <si>
    <t>kfc.veresaeva@yummy.rest</t>
  </si>
  <si>
    <t>KFC Zelenokumsk Zelenokumsk</t>
  </si>
  <si>
    <t>KFC Зеленокумск Зеленокумск</t>
  </si>
  <si>
    <t>357912, Россия, Ставропольский край, Зеленокумск, ул. 50 лет Октября, д. 43</t>
  </si>
  <si>
    <t>kfc.zelenokumsk@yummy-group.ru</t>
  </si>
  <si>
    <t>Zelenokumsk</t>
  </si>
  <si>
    <t>KFC Pobeda Kamyshin</t>
  </si>
  <si>
    <t>KFC Победа Камышин</t>
  </si>
  <si>
    <t>403874, Россия, Волгоградская область, Камышин, ул. Ленина, 9</t>
  </si>
  <si>
    <t>KFC0691@irb.rest</t>
  </si>
  <si>
    <t>Kamyshin</t>
  </si>
  <si>
    <t>Pokrovsky Izhevsk</t>
  </si>
  <si>
    <t>Ресторан Покровский Ижевск</t>
  </si>
  <si>
    <t>426060, Россия, Удмуртская республика, Ижевск, ул. 10 лет Октября, 69</t>
  </si>
  <si>
    <t>pokrovsky@restudm.ru</t>
  </si>
  <si>
    <t>Ресторан Покровский</t>
  </si>
  <si>
    <t>Vokzal 1853 Saint-Petersburg</t>
  </si>
  <si>
    <t>Ресторан Вокзал 1853 Санкт-Петербург</t>
  </si>
  <si>
    <t>190005, Россия, Санкт-Петербург, набережная Обводного канала, 118С</t>
  </si>
  <si>
    <t>403354@myrest.team</t>
  </si>
  <si>
    <t>Ресторан Вокзал 1853</t>
  </si>
  <si>
    <t>Gagarinskiy Moscow</t>
  </si>
  <si>
    <t>Ресторан Гагаринский Москва</t>
  </si>
  <si>
    <t>119334, Россия, Москва, Вавилова, 3</t>
  </si>
  <si>
    <t>KFC0697@irb.rest</t>
  </si>
  <si>
    <t>KFC Dagestan ogni Dagestan ogni</t>
  </si>
  <si>
    <t>KFC Дагестанские огни Дагестанские огни</t>
  </si>
  <si>
    <t>368620, Россия, Дагестан республика, Дагестанские Огни, с. Митаги-Казмаляр, ул. ФАД Кавказ, стр. 16</t>
  </si>
  <si>
    <t>kfc.dagogni@yummy.rest</t>
  </si>
  <si>
    <t>Dagestanskie Ogni</t>
  </si>
  <si>
    <t>Yuzhny Novorossiysk</t>
  </si>
  <si>
    <t>Ресторан Южный Новороссийск</t>
  </si>
  <si>
    <t>353925 , Россия, Краснодарский край, Новороссийск, проспект Дзержинского, 190А</t>
  </si>
  <si>
    <t>KFC0694@irb.rest</t>
  </si>
  <si>
    <t>Ресторан Южный Новор</t>
  </si>
  <si>
    <t>Karnaval Ekaterinburg</t>
  </si>
  <si>
    <t>Ресторан Карнавал Екатеринбург</t>
  </si>
  <si>
    <t>620034, Россия, Свердловская область, Екатеринбург, Халтурина, 55</t>
  </si>
  <si>
    <t>KFC0701@irb.rest</t>
  </si>
  <si>
    <t>Ресторан Карнавал Ек</t>
  </si>
  <si>
    <t>Slon Miass</t>
  </si>
  <si>
    <t>Ресторан Слон Миасс</t>
  </si>
  <si>
    <t>456300, Россия, Челябинская область, Миасс, ул. Автозаводцев, 65</t>
  </si>
  <si>
    <t>KFC0692@irb.rest</t>
  </si>
  <si>
    <t>Miass</t>
  </si>
  <si>
    <t>Demyana Bednogo Omsk</t>
  </si>
  <si>
    <t>Ресторан Демьяна Бедного Омск</t>
  </si>
  <si>
    <t>644021, Россия, Омская область, Омск, ул. Демьяна Бедного, 83</t>
  </si>
  <si>
    <t>KFC0713@irb.rest</t>
  </si>
  <si>
    <t>Mira Zlatoust</t>
  </si>
  <si>
    <t>Ресторан Мира Златоуст</t>
  </si>
  <si>
    <t>456227, Россия, Челябинская область, Златоуст, просп. Мира, 35/1</t>
  </si>
  <si>
    <t>KFC0709@irb.rest</t>
  </si>
  <si>
    <t>Zlatoust</t>
  </si>
  <si>
    <t>Ресторан Мира Златоу</t>
  </si>
  <si>
    <t>Sputnik Fryazino Moscow</t>
  </si>
  <si>
    <t>Ресторан Спутник Фрязино Москва</t>
  </si>
  <si>
    <t>141190, Россия, Московская область, Фрязино, Школьная улица, д. 1</t>
  </si>
  <si>
    <t>KFC0714@irb.rest</t>
  </si>
  <si>
    <t>Fryazino</t>
  </si>
  <si>
    <t>Lenina Abakan</t>
  </si>
  <si>
    <t>Ресторан Ленина Абакан</t>
  </si>
  <si>
    <t>655017, Россия, Хакасия республика, Абакан, пр. Ленина, 80</t>
  </si>
  <si>
    <t>KFC0638@irb.rest</t>
  </si>
  <si>
    <t>KFC Gagarina Derbent</t>
  </si>
  <si>
    <t>KFC Гагарина Дербент</t>
  </si>
  <si>
    <t>368600, Россия, Дагестан республика, Дербент, ул. Ю. Гагарина, зд. 20Е</t>
  </si>
  <si>
    <t>kfc.derbent@yummy.rest</t>
  </si>
  <si>
    <t>Derbent</t>
  </si>
  <si>
    <t>Chempion Nizhnevartovsk</t>
  </si>
  <si>
    <t>Ресторан Чемпион Нижневартовск</t>
  </si>
  <si>
    <t>628609, Россия, Ханты-Мансийский автономный округ - Югра автономный округ, Нижневартовск, ул. Северная, 15</t>
  </si>
  <si>
    <t>NVChempion@uni.rest</t>
  </si>
  <si>
    <t>Glazov Glazov</t>
  </si>
  <si>
    <t>Ресторан Глазов Глазов</t>
  </si>
  <si>
    <t>427628 , Россия, Удмуртская республика, Глазов, Толстого, д.1</t>
  </si>
  <si>
    <t>glazov@restudm.ru</t>
  </si>
  <si>
    <t>Glazov</t>
  </si>
  <si>
    <t>Ресторан Глазов Глаз</t>
  </si>
  <si>
    <t>Avenue Krasnoyarsk</t>
  </si>
  <si>
    <t>Ресторан Авеню Красноярск</t>
  </si>
  <si>
    <t>660049, Россия, Красноярский край, Красноярск, пр. Мира, 80А</t>
  </si>
  <si>
    <t>KFC0703@irb.rest</t>
  </si>
  <si>
    <t>Ресторан Авеню Красн</t>
  </si>
  <si>
    <t>KFC Grad Voronezh</t>
  </si>
  <si>
    <t>KFC Град Воронеж</t>
  </si>
  <si>
    <t>394004, Россия, Воронежская область, Воронеж, Рамонский район, посёлок Солнечный, Парковая улица, 3</t>
  </si>
  <si>
    <t>KFC0727@irb.rest</t>
  </si>
  <si>
    <t>РБП</t>
  </si>
  <si>
    <t>ООО "Рестораны Быстрого Питания"</t>
  </si>
  <si>
    <t>Voronezh</t>
  </si>
  <si>
    <t>Arena Voronezh</t>
  </si>
  <si>
    <t>Ресторан Арена Воронеж</t>
  </si>
  <si>
    <t>394077, Россия, Воронежская область, Воронеж, бульвар Победы, 23Б</t>
  </si>
  <si>
    <t>KFC0728@irb.rest</t>
  </si>
  <si>
    <t>KFC Арена Воронеж</t>
  </si>
  <si>
    <t>Aksioma Voronezh</t>
  </si>
  <si>
    <t>Ресторан Аксиома Воронеж</t>
  </si>
  <si>
    <t>394088, Россия, Воронежская область, Воронеж, Генерала Лизюкова, 60</t>
  </si>
  <si>
    <t>KFC0729@irb.rest</t>
  </si>
  <si>
    <t>KFC Аксиома Воронеж</t>
  </si>
  <si>
    <t>KFC Zelenaya Lenta Voronezh</t>
  </si>
  <si>
    <t>KFC Зеленая Лента Воронеж</t>
  </si>
  <si>
    <t>394051, Россия, Воронежская область, Воронеж, ул. Домостроителей, 24</t>
  </si>
  <si>
    <t>KFC0730@irb.rest</t>
  </si>
  <si>
    <t>KFC Зеленая Лента Во</t>
  </si>
  <si>
    <t>KFC Moskovsky prospekt Voronezh</t>
  </si>
  <si>
    <t>KFC Московский проспект Воронеж</t>
  </si>
  <si>
    <t>394005, Россия, Воронежская область, Воронеж, Московский проспект, 129/1</t>
  </si>
  <si>
    <t>KFC0731@irb.rest</t>
  </si>
  <si>
    <t>KFC Московский просп</t>
  </si>
  <si>
    <t>KFC M4 Voronezh</t>
  </si>
  <si>
    <t>KFC М4 Воронеж</t>
  </si>
  <si>
    <t>394025, Россия, Воронежская область, Воронеж, Рамонский район, Айдаровское сельское поселение, территория Промышленная, улица 5-я Промышленная зона,7/1</t>
  </si>
  <si>
    <t>KFC0732@irb.rest</t>
  </si>
  <si>
    <t>Kirova Voronezh</t>
  </si>
  <si>
    <t>Ресторан Кирова Воронеж</t>
  </si>
  <si>
    <t>394006, Россия, Воронежская область, Воронеж, ул. Кирова, 4</t>
  </si>
  <si>
    <t>KFC0733@irb.rest</t>
  </si>
  <si>
    <t>KFC Кирова Воронеж</t>
  </si>
  <si>
    <t>KFC Signal Voronezh</t>
  </si>
  <si>
    <t>KFC Сигнал Воронеж</t>
  </si>
  <si>
    <t>394036, Россия, Воронежская область, Воронеж, Московский проспект, д. 9/1</t>
  </si>
  <si>
    <t>KFC0734@irb.rest</t>
  </si>
  <si>
    <t>Mega Grinn Kursk</t>
  </si>
  <si>
    <t>Ресторан Мега Гринн Курск</t>
  </si>
  <si>
    <t>305029, Россия, Курская область, Курск, Карла Маркса, 68</t>
  </si>
  <si>
    <t>KFC0720@irb.rest</t>
  </si>
  <si>
    <t>Kursk</t>
  </si>
  <si>
    <t>Ресторан Мега Гринн</t>
  </si>
  <si>
    <t>KFC Central Park Kursk</t>
  </si>
  <si>
    <t>KFC Централ Парк Курск</t>
  </si>
  <si>
    <t>305004, Россия, Курская область, Курск, Карла Маркса, 6</t>
  </si>
  <si>
    <t>KFC0721@irb.rest</t>
  </si>
  <si>
    <t>KFC Централ Парк Кур</t>
  </si>
  <si>
    <t>TSUM Kursk</t>
  </si>
  <si>
    <t>Ресторан ЦУМ Курск</t>
  </si>
  <si>
    <t>305000, Россия, Курская область, Курск, ул. Ленина, 12</t>
  </si>
  <si>
    <t>KFC0722@irb.rest</t>
  </si>
  <si>
    <t>KFC Uventa Voronezh</t>
  </si>
  <si>
    <t>KFC Ювента Воронеж</t>
  </si>
  <si>
    <t>394036, Россия, Воронежская область, Воронеж, проспект Революции, 36/38</t>
  </si>
  <si>
    <t>KFC0724@irb.rest</t>
  </si>
  <si>
    <t>KFC Chizhova Voronezh</t>
  </si>
  <si>
    <t>KFC Чижова Воронеж</t>
  </si>
  <si>
    <t>393030, Россия, Воронежская область, Воронеж, Кольцовская, 35</t>
  </si>
  <si>
    <t>KFC0725@irb.rest</t>
  </si>
  <si>
    <t>KFC Maximir Voronezh</t>
  </si>
  <si>
    <t>KFC Максимир Воронеж</t>
  </si>
  <si>
    <t>394063, Россия, Воронежская область, Воронеж, Ленинский проспект, 174П</t>
  </si>
  <si>
    <t>KFC0726@irb.rest</t>
  </si>
  <si>
    <t>Sharapovo Moscow Region</t>
  </si>
  <si>
    <t>Ресторан Шарапово Московская область</t>
  </si>
  <si>
    <t>Россия, Московская область, Чехов, тер. в районе д. Шарапово</t>
  </si>
  <si>
    <t>MOSharapovo@uni.rest</t>
  </si>
  <si>
    <t>Ресторан Шарапово Мо</t>
  </si>
  <si>
    <t>Ploshchad Pobedy 2 Kaliningrad</t>
  </si>
  <si>
    <t>Ресторан Площадь Победы 2 Калининград</t>
  </si>
  <si>
    <t>236022, Россия, Калининградская область, Калининград, Победы площадь, д. 4</t>
  </si>
  <si>
    <t>smart@cityrst.ru</t>
  </si>
  <si>
    <t>Смартбокс+20%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</si>
</sst>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c6c6c6"/>
      </right>
      <top style="thin">
        <color rgb="FF8ea9db"/>
      </top>
      <bottom style="thin">
        <color rgb="FF8ea9db"/>
      </bottom>
      <diagonal/>
    </border>
    <border>
      <left style="thin">
        <color rgb="FFc6c6c6"/>
      </left>
      <right style="thin">
        <color rgb="FFc6c6c6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3" applyNumberFormat="1" borderId="3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0" borderId="3" applyBorder="1" fontId="2" applyFont="1" fillId="3" applyFill="1" applyAlignment="1">
      <alignment horizontal="left"/>
    </xf>
    <xf xfId="0" numFmtId="3" applyNumberFormat="1" borderId="3" applyBorder="1" fontId="2" applyFont="1" fillId="3" applyFill="1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3" applyNumberFormat="1" borderId="3" applyBorder="1" fontId="2" applyFont="1" fillId="3" applyFill="1" applyAlignment="1">
      <alignment horizontal="right"/>
    </xf>
    <xf xfId="0" numFmtId="3" applyNumberFormat="1" borderId="5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right"/>
    </xf>
    <xf xfId="0" numFmtId="4" applyNumberFormat="1" borderId="4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162"/>
  <sheetViews>
    <sheetView workbookViewId="0" tabSelected="1"/>
  </sheetViews>
  <sheetFormatPr defaultRowHeight="15" x14ac:dyDescent="0.25"/>
  <cols>
    <col min="1" max="1" style="17" width="30.576428571428572" customWidth="1" bestFit="1"/>
    <col min="2" max="2" style="17" width="13.576428571428572" customWidth="1" bestFit="1"/>
    <col min="3" max="3" style="18" width="25.576428571428572" customWidth="1" bestFit="1"/>
    <col min="4" max="4" style="18" width="13.576428571428572" customWidth="1" bestFit="1"/>
    <col min="5" max="5" style="17" width="13.576428571428572" customWidth="1" bestFit="1"/>
    <col min="6" max="6" style="17" width="13.576428571428572" customWidth="1" bestFit="1"/>
    <col min="7" max="7" style="18" width="13.576428571428572" customWidth="1" bestFit="1"/>
    <col min="8" max="8" style="18" width="13.576428571428572" customWidth="1" bestFit="1"/>
    <col min="9" max="9" style="18" width="13.576428571428572" customWidth="1" bestFit="1"/>
    <col min="10" max="10" style="18" width="13.576428571428572" customWidth="1" bestFit="1"/>
    <col min="11" max="11" style="17" width="13.576428571428572" customWidth="1" bestFit="1"/>
    <col min="12" max="12" style="18" width="13.576428571428572" customWidth="1" bestFit="1"/>
    <col min="13" max="13" style="17" width="13.576428571428572" customWidth="1" bestFit="1"/>
    <col min="14" max="14" style="18" width="13.576428571428572" customWidth="1" bestFit="1"/>
    <col min="15" max="15" style="18" width="13.576428571428572" customWidth="1" bestFit="1"/>
    <col min="16" max="16" style="18" width="13.576428571428572" customWidth="1" bestFit="1"/>
    <col min="17" max="17" style="17" width="25.005" customWidth="1" bestFit="1"/>
    <col min="18" max="18" style="18" width="13.576428571428572" customWidth="1" bestFit="1"/>
    <col min="19" max="19" style="18" width="13.576428571428572" customWidth="1" bestFit="1"/>
    <col min="20" max="20" style="19" width="13.576428571428572" customWidth="1" bestFit="1"/>
    <col min="21" max="21" style="18" width="13.576428571428572" customWidth="1" bestFit="1"/>
    <col min="22" max="22" style="19" width="13.576428571428572" customWidth="1" bestFit="1"/>
    <col min="23" max="23" style="18" width="13.576428571428572" customWidth="1" bestFit="1"/>
    <col min="24" max="24" style="19" width="21.290714285714284" customWidth="1" bestFit="1"/>
    <col min="25" max="25" style="18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4" t="s">
        <v>23</v>
      </c>
      <c r="Y1" s="3" t="s">
        <v>24</v>
      </c>
    </row>
    <row x14ac:dyDescent="0.25" r="2" customHeight="1" ht="19.5">
      <c r="A2" s="5">
        <v>74020442</v>
      </c>
      <c r="B2" s="6">
        <v>32</v>
      </c>
      <c r="C2" s="7" t="s">
        <v>25</v>
      </c>
      <c r="D2" s="7" t="s">
        <v>26</v>
      </c>
      <c r="E2" s="8">
        <v>74020442</v>
      </c>
      <c r="F2" s="8">
        <v>32</v>
      </c>
      <c r="G2" s="7" t="s">
        <v>27</v>
      </c>
      <c r="H2" s="7" t="s">
        <v>28</v>
      </c>
      <c r="I2" s="7" t="s">
        <v>29</v>
      </c>
      <c r="J2" s="8">
        <f>79636300451</f>
      </c>
      <c r="K2" s="9"/>
      <c r="L2" s="7" t="s">
        <v>30</v>
      </c>
      <c r="M2" s="8">
        <v>56</v>
      </c>
      <c r="N2" s="7" t="s">
        <v>31</v>
      </c>
      <c r="O2" s="7" t="s">
        <v>32</v>
      </c>
      <c r="P2" s="7" t="s">
        <v>32</v>
      </c>
      <c r="Q2" s="8" t="s">
        <v>26</v>
      </c>
      <c r="R2" s="7" t="s">
        <v>33</v>
      </c>
      <c r="S2" s="7" t="s">
        <v>34</v>
      </c>
      <c r="T2" s="10">
        <v>6</v>
      </c>
      <c r="U2" s="7"/>
      <c r="V2" s="10">
        <v>0</v>
      </c>
      <c r="W2" s="7" t="s">
        <v>35</v>
      </c>
      <c r="X2" s="10" t="s">
        <v>36</v>
      </c>
      <c r="Y2" s="7" t="s">
        <v>37</v>
      </c>
    </row>
    <row x14ac:dyDescent="0.25" r="3" customHeight="1" ht="19.5">
      <c r="A3" s="11">
        <v>74020449</v>
      </c>
      <c r="B3" s="12">
        <v>58</v>
      </c>
      <c r="C3" s="13" t="s">
        <v>38</v>
      </c>
      <c r="D3" s="13" t="s">
        <v>39</v>
      </c>
      <c r="E3" s="14">
        <v>74020449</v>
      </c>
      <c r="F3" s="14">
        <v>58</v>
      </c>
      <c r="G3" s="13" t="s">
        <v>27</v>
      </c>
      <c r="H3" s="13" t="s">
        <v>40</v>
      </c>
      <c r="I3" s="13" t="s">
        <v>41</v>
      </c>
      <c r="J3" s="14">
        <f>73412912903</f>
      </c>
      <c r="K3" s="9"/>
      <c r="L3" s="13" t="s">
        <v>42</v>
      </c>
      <c r="M3" s="14">
        <v>89</v>
      </c>
      <c r="N3" s="13" t="s">
        <v>43</v>
      </c>
      <c r="O3" s="13" t="s">
        <v>44</v>
      </c>
      <c r="P3" s="13" t="s">
        <v>45</v>
      </c>
      <c r="Q3" s="14" t="s">
        <v>46</v>
      </c>
      <c r="R3" s="13" t="s">
        <v>33</v>
      </c>
      <c r="S3" s="13" t="s">
        <v>47</v>
      </c>
      <c r="T3" s="15">
        <v>1</v>
      </c>
      <c r="U3" s="13" t="s">
        <v>48</v>
      </c>
      <c r="V3" s="15" t="s">
        <v>49</v>
      </c>
      <c r="W3" s="13" t="s">
        <v>35</v>
      </c>
      <c r="X3" s="15" t="s">
        <v>36</v>
      </c>
      <c r="Y3" s="13" t="s">
        <v>37</v>
      </c>
    </row>
    <row x14ac:dyDescent="0.25" r="4" customHeight="1" ht="19.5">
      <c r="A4" s="5">
        <v>74020450</v>
      </c>
      <c r="B4" s="6">
        <v>59</v>
      </c>
      <c r="C4" s="7" t="s">
        <v>50</v>
      </c>
      <c r="D4" s="7" t="s">
        <v>51</v>
      </c>
      <c r="E4" s="8">
        <v>74020450</v>
      </c>
      <c r="F4" s="8">
        <v>59</v>
      </c>
      <c r="G4" s="7" t="s">
        <v>27</v>
      </c>
      <c r="H4" s="7" t="s">
        <v>52</v>
      </c>
      <c r="I4" s="7" t="s">
        <v>53</v>
      </c>
      <c r="J4" s="8">
        <f>79218975664</f>
      </c>
      <c r="K4" s="9"/>
      <c r="L4" s="7" t="s">
        <v>54</v>
      </c>
      <c r="M4" s="8">
        <v>188</v>
      </c>
      <c r="N4" s="7" t="s">
        <v>55</v>
      </c>
      <c r="O4" s="7" t="s">
        <v>56</v>
      </c>
      <c r="P4" s="7" t="s">
        <v>57</v>
      </c>
      <c r="Q4" s="8" t="s">
        <v>58</v>
      </c>
      <c r="R4" s="7" t="s">
        <v>33</v>
      </c>
      <c r="S4" s="7" t="s">
        <v>34</v>
      </c>
      <c r="T4" s="10">
        <v>0</v>
      </c>
      <c r="U4" s="7" t="s">
        <v>48</v>
      </c>
      <c r="V4" s="10" t="s">
        <v>49</v>
      </c>
      <c r="W4" s="7" t="s">
        <v>35</v>
      </c>
      <c r="X4" s="10" t="s">
        <v>36</v>
      </c>
      <c r="Y4" s="7" t="s">
        <v>59</v>
      </c>
    </row>
    <row x14ac:dyDescent="0.25" r="5" customHeight="1" ht="19.5">
      <c r="A5" s="11">
        <v>74020451</v>
      </c>
      <c r="B5" s="12">
        <v>60</v>
      </c>
      <c r="C5" s="13" t="s">
        <v>60</v>
      </c>
      <c r="D5" s="13" t="s">
        <v>61</v>
      </c>
      <c r="E5" s="14">
        <v>74020451</v>
      </c>
      <c r="F5" s="14">
        <v>60</v>
      </c>
      <c r="G5" s="13" t="s">
        <v>27</v>
      </c>
      <c r="H5" s="13" t="s">
        <v>62</v>
      </c>
      <c r="I5" s="13" t="s">
        <v>63</v>
      </c>
      <c r="J5" s="14">
        <f>79218975746</f>
      </c>
      <c r="K5" s="9"/>
      <c r="L5" s="13" t="s">
        <v>54</v>
      </c>
      <c r="M5" s="14">
        <v>188</v>
      </c>
      <c r="N5" s="13" t="s">
        <v>55</v>
      </c>
      <c r="O5" s="13" t="s">
        <v>56</v>
      </c>
      <c r="P5" s="13" t="s">
        <v>57</v>
      </c>
      <c r="Q5" s="14" t="s">
        <v>58</v>
      </c>
      <c r="R5" s="13" t="s">
        <v>33</v>
      </c>
      <c r="S5" s="13" t="s">
        <v>34</v>
      </c>
      <c r="T5" s="15">
        <v>0</v>
      </c>
      <c r="U5" s="13" t="s">
        <v>35</v>
      </c>
      <c r="V5" s="15" t="s">
        <v>64</v>
      </c>
      <c r="W5" s="13" t="s">
        <v>48</v>
      </c>
      <c r="X5" s="15" t="s">
        <v>65</v>
      </c>
      <c r="Y5" s="13" t="s">
        <v>66</v>
      </c>
    </row>
    <row x14ac:dyDescent="0.25" r="6" customHeight="1" ht="19.5">
      <c r="A6" s="5">
        <v>74020454</v>
      </c>
      <c r="B6" s="6">
        <v>63</v>
      </c>
      <c r="C6" s="7" t="s">
        <v>67</v>
      </c>
      <c r="D6" s="7" t="s">
        <v>68</v>
      </c>
      <c r="E6" s="8">
        <v>74020454</v>
      </c>
      <c r="F6" s="8">
        <v>63</v>
      </c>
      <c r="G6" s="7" t="s">
        <v>27</v>
      </c>
      <c r="H6" s="7" t="s">
        <v>69</v>
      </c>
      <c r="I6" s="7" t="s">
        <v>70</v>
      </c>
      <c r="J6" s="8">
        <f>73852257027</f>
      </c>
      <c r="K6" s="9"/>
      <c r="L6" s="7" t="s">
        <v>71</v>
      </c>
      <c r="M6" s="8">
        <v>179</v>
      </c>
      <c r="N6" s="7" t="s">
        <v>72</v>
      </c>
      <c r="O6" s="7" t="s">
        <v>73</v>
      </c>
      <c r="P6" s="7" t="s">
        <v>74</v>
      </c>
      <c r="Q6" s="8" t="s">
        <v>75</v>
      </c>
      <c r="R6" s="7" t="s">
        <v>33</v>
      </c>
      <c r="S6" s="7" t="s">
        <v>34</v>
      </c>
      <c r="T6" s="10">
        <v>0</v>
      </c>
      <c r="U6" s="7" t="s">
        <v>48</v>
      </c>
      <c r="V6" s="10" t="s">
        <v>49</v>
      </c>
      <c r="W6" s="7" t="s">
        <v>48</v>
      </c>
      <c r="X6" s="10" t="s">
        <v>36</v>
      </c>
      <c r="Y6" s="7" t="s">
        <v>37</v>
      </c>
    </row>
    <row x14ac:dyDescent="0.25" r="7" customHeight="1" ht="19.5">
      <c r="A7" s="11">
        <v>74020460</v>
      </c>
      <c r="B7" s="12">
        <v>66</v>
      </c>
      <c r="C7" s="13" t="s">
        <v>76</v>
      </c>
      <c r="D7" s="13" t="s">
        <v>77</v>
      </c>
      <c r="E7" s="14">
        <v>74020460</v>
      </c>
      <c r="F7" s="14">
        <v>66</v>
      </c>
      <c r="G7" s="13" t="s">
        <v>27</v>
      </c>
      <c r="H7" s="13" t="s">
        <v>78</v>
      </c>
      <c r="I7" s="13" t="s">
        <v>79</v>
      </c>
      <c r="J7" s="14">
        <f>74951980991</f>
      </c>
      <c r="K7" s="9"/>
      <c r="L7" s="13" t="s">
        <v>80</v>
      </c>
      <c r="M7" s="14">
        <v>100190</v>
      </c>
      <c r="N7" s="13" t="s">
        <v>81</v>
      </c>
      <c r="O7" s="13" t="s">
        <v>82</v>
      </c>
      <c r="P7" s="13" t="s">
        <v>83</v>
      </c>
      <c r="Q7" s="14" t="s">
        <v>77</v>
      </c>
      <c r="R7" s="13" t="s">
        <v>33</v>
      </c>
      <c r="S7" s="13" t="s">
        <v>34</v>
      </c>
      <c r="T7" s="15">
        <v>0</v>
      </c>
      <c r="U7" s="13" t="s">
        <v>48</v>
      </c>
      <c r="V7" s="15" t="s">
        <v>49</v>
      </c>
      <c r="W7" s="13" t="s">
        <v>35</v>
      </c>
      <c r="X7" s="15" t="s">
        <v>36</v>
      </c>
      <c r="Y7" s="13" t="s">
        <v>84</v>
      </c>
    </row>
    <row x14ac:dyDescent="0.25" r="8" customHeight="1" ht="19.5">
      <c r="A8" s="5">
        <v>74020461</v>
      </c>
      <c r="B8" s="6">
        <v>67</v>
      </c>
      <c r="C8" s="7" t="s">
        <v>85</v>
      </c>
      <c r="D8" s="7" t="s">
        <v>86</v>
      </c>
      <c r="E8" s="8">
        <v>74020461</v>
      </c>
      <c r="F8" s="8">
        <v>67</v>
      </c>
      <c r="G8" s="7" t="s">
        <v>27</v>
      </c>
      <c r="H8" s="7" t="s">
        <v>87</v>
      </c>
      <c r="I8" s="7" t="s">
        <v>88</v>
      </c>
      <c r="J8" s="8">
        <f>79306848652</f>
      </c>
      <c r="K8" s="9"/>
      <c r="L8" s="7" t="s">
        <v>54</v>
      </c>
      <c r="M8" s="8">
        <v>188</v>
      </c>
      <c r="N8" s="7" t="s">
        <v>55</v>
      </c>
      <c r="O8" s="7" t="s">
        <v>44</v>
      </c>
      <c r="P8" s="7" t="s">
        <v>89</v>
      </c>
      <c r="Q8" s="8" t="s">
        <v>58</v>
      </c>
      <c r="R8" s="7" t="s">
        <v>33</v>
      </c>
      <c r="S8" s="7" t="s">
        <v>34</v>
      </c>
      <c r="T8" s="10">
        <v>0</v>
      </c>
      <c r="U8" s="7" t="s">
        <v>48</v>
      </c>
      <c r="V8" s="10" t="s">
        <v>49</v>
      </c>
      <c r="W8" s="7" t="s">
        <v>35</v>
      </c>
      <c r="X8" s="10" t="s">
        <v>36</v>
      </c>
      <c r="Y8" s="7" t="s">
        <v>37</v>
      </c>
    </row>
    <row x14ac:dyDescent="0.25" r="9" customHeight="1" ht="19.5">
      <c r="A9" s="11">
        <v>74020468</v>
      </c>
      <c r="B9" s="12">
        <v>69</v>
      </c>
      <c r="C9" s="13" t="s">
        <v>90</v>
      </c>
      <c r="D9" s="13" t="s">
        <v>91</v>
      </c>
      <c r="E9" s="14">
        <v>74020468</v>
      </c>
      <c r="F9" s="14">
        <v>69</v>
      </c>
      <c r="G9" s="13" t="s">
        <v>27</v>
      </c>
      <c r="H9" s="13" t="s">
        <v>92</v>
      </c>
      <c r="I9" s="13" t="s">
        <v>93</v>
      </c>
      <c r="J9" s="14">
        <f>73472262444</f>
      </c>
      <c r="K9" s="14">
        <v>1005</v>
      </c>
      <c r="L9" s="13" t="s">
        <v>94</v>
      </c>
      <c r="M9" s="14">
        <v>260</v>
      </c>
      <c r="N9" s="13" t="s">
        <v>95</v>
      </c>
      <c r="O9" s="13" t="s">
        <v>96</v>
      </c>
      <c r="P9" s="13" t="s">
        <v>97</v>
      </c>
      <c r="Q9" s="14" t="s">
        <v>91</v>
      </c>
      <c r="R9" s="13" t="s">
        <v>33</v>
      </c>
      <c r="S9" s="13" t="s">
        <v>34</v>
      </c>
      <c r="T9" s="15">
        <v>0</v>
      </c>
      <c r="U9" s="13" t="s">
        <v>48</v>
      </c>
      <c r="V9" s="15" t="s">
        <v>49</v>
      </c>
      <c r="W9" s="13" t="s">
        <v>48</v>
      </c>
      <c r="X9" s="15" t="s">
        <v>36</v>
      </c>
      <c r="Y9" s="13" t="s">
        <v>37</v>
      </c>
    </row>
    <row x14ac:dyDescent="0.25" r="10" customHeight="1" ht="19.5">
      <c r="A10" s="5">
        <v>74020469</v>
      </c>
      <c r="B10" s="6">
        <v>70</v>
      </c>
      <c r="C10" s="7" t="s">
        <v>98</v>
      </c>
      <c r="D10" s="7" t="s">
        <v>99</v>
      </c>
      <c r="E10" s="8">
        <v>74020469</v>
      </c>
      <c r="F10" s="8">
        <v>70</v>
      </c>
      <c r="G10" s="7" t="s">
        <v>27</v>
      </c>
      <c r="H10" s="7" t="s">
        <v>100</v>
      </c>
      <c r="I10" s="7" t="s">
        <v>101</v>
      </c>
      <c r="J10" s="8">
        <f>73472262444</f>
      </c>
      <c r="K10" s="8">
        <v>1006</v>
      </c>
      <c r="L10" s="7" t="s">
        <v>94</v>
      </c>
      <c r="M10" s="8">
        <v>258</v>
      </c>
      <c r="N10" s="7" t="s">
        <v>102</v>
      </c>
      <c r="O10" s="7" t="s">
        <v>96</v>
      </c>
      <c r="P10" s="7" t="s">
        <v>97</v>
      </c>
      <c r="Q10" s="8" t="s">
        <v>103</v>
      </c>
      <c r="R10" s="7" t="s">
        <v>33</v>
      </c>
      <c r="S10" s="7" t="s">
        <v>34</v>
      </c>
      <c r="T10" s="10">
        <v>0</v>
      </c>
      <c r="U10" s="7" t="s">
        <v>48</v>
      </c>
      <c r="V10" s="10" t="s">
        <v>49</v>
      </c>
      <c r="W10" s="7" t="s">
        <v>48</v>
      </c>
      <c r="X10" s="10" t="s">
        <v>36</v>
      </c>
      <c r="Y10" s="7" t="s">
        <v>37</v>
      </c>
    </row>
    <row x14ac:dyDescent="0.25" r="11" customHeight="1" ht="19.5">
      <c r="A11" s="11">
        <v>74020474</v>
      </c>
      <c r="B11" s="12">
        <v>73</v>
      </c>
      <c r="C11" s="13" t="s">
        <v>104</v>
      </c>
      <c r="D11" s="13" t="s">
        <v>105</v>
      </c>
      <c r="E11" s="14">
        <v>74020474</v>
      </c>
      <c r="F11" s="14">
        <v>73</v>
      </c>
      <c r="G11" s="13" t="s">
        <v>27</v>
      </c>
      <c r="H11" s="13" t="s">
        <v>106</v>
      </c>
      <c r="I11" s="13" t="s">
        <v>107</v>
      </c>
      <c r="J11" s="14">
        <f>79218975674</f>
      </c>
      <c r="K11" s="9"/>
      <c r="L11" s="13" t="s">
        <v>54</v>
      </c>
      <c r="M11" s="14">
        <v>188</v>
      </c>
      <c r="N11" s="13" t="s">
        <v>55</v>
      </c>
      <c r="O11" s="13" t="s">
        <v>56</v>
      </c>
      <c r="P11" s="13" t="s">
        <v>57</v>
      </c>
      <c r="Q11" s="14" t="s">
        <v>58</v>
      </c>
      <c r="R11" s="13" t="s">
        <v>33</v>
      </c>
      <c r="S11" s="13" t="s">
        <v>34</v>
      </c>
      <c r="T11" s="15">
        <v>0</v>
      </c>
      <c r="U11" s="13" t="s">
        <v>48</v>
      </c>
      <c r="V11" s="15" t="s">
        <v>49</v>
      </c>
      <c r="W11" s="13" t="s">
        <v>35</v>
      </c>
      <c r="X11" s="15" t="s">
        <v>36</v>
      </c>
      <c r="Y11" s="13" t="s">
        <v>59</v>
      </c>
    </row>
    <row x14ac:dyDescent="0.25" r="12" customHeight="1" ht="19.5">
      <c r="A12" s="5">
        <v>74020477</v>
      </c>
      <c r="B12" s="6">
        <v>77</v>
      </c>
      <c r="C12" s="7" t="s">
        <v>108</v>
      </c>
      <c r="D12" s="7" t="s">
        <v>109</v>
      </c>
      <c r="E12" s="8">
        <v>74020477</v>
      </c>
      <c r="F12" s="8">
        <v>77</v>
      </c>
      <c r="G12" s="7" t="s">
        <v>27</v>
      </c>
      <c r="H12" s="7" t="s">
        <v>110</v>
      </c>
      <c r="I12" s="7" t="s">
        <v>111</v>
      </c>
      <c r="J12" s="8">
        <f>79636300416</f>
      </c>
      <c r="K12" s="9"/>
      <c r="L12" s="7" t="s">
        <v>30</v>
      </c>
      <c r="M12" s="8">
        <v>56</v>
      </c>
      <c r="N12" s="7" t="s">
        <v>31</v>
      </c>
      <c r="O12" s="7" t="s">
        <v>32</v>
      </c>
      <c r="P12" s="7" t="s">
        <v>32</v>
      </c>
      <c r="Q12" s="8" t="s">
        <v>112</v>
      </c>
      <c r="R12" s="7" t="s">
        <v>33</v>
      </c>
      <c r="S12" s="7" t="s">
        <v>34</v>
      </c>
      <c r="T12" s="10">
        <v>0</v>
      </c>
      <c r="U12" s="7"/>
      <c r="V12" s="10">
        <v>0</v>
      </c>
      <c r="W12" s="7" t="s">
        <v>48</v>
      </c>
      <c r="X12" s="10" t="s">
        <v>65</v>
      </c>
      <c r="Y12" s="7" t="s">
        <v>37</v>
      </c>
    </row>
    <row x14ac:dyDescent="0.25" r="13" customHeight="1" ht="19.5">
      <c r="A13" s="11">
        <v>74020481</v>
      </c>
      <c r="B13" s="12">
        <v>78</v>
      </c>
      <c r="C13" s="13" t="s">
        <v>113</v>
      </c>
      <c r="D13" s="13" t="s">
        <v>114</v>
      </c>
      <c r="E13" s="14">
        <v>74020481</v>
      </c>
      <c r="F13" s="14">
        <v>78</v>
      </c>
      <c r="G13" s="13" t="s">
        <v>27</v>
      </c>
      <c r="H13" s="13" t="s">
        <v>115</v>
      </c>
      <c r="I13" s="13" t="s">
        <v>116</v>
      </c>
      <c r="J13" s="14">
        <f>79034060968</f>
      </c>
      <c r="K13" s="9"/>
      <c r="L13" s="13" t="s">
        <v>117</v>
      </c>
      <c r="M13" s="14">
        <v>210</v>
      </c>
      <c r="N13" s="13" t="s">
        <v>118</v>
      </c>
      <c r="O13" s="13" t="s">
        <v>119</v>
      </c>
      <c r="P13" s="13" t="s">
        <v>120</v>
      </c>
      <c r="Q13" s="14" t="s">
        <v>58</v>
      </c>
      <c r="R13" s="13" t="s">
        <v>33</v>
      </c>
      <c r="S13" s="13" t="s">
        <v>34</v>
      </c>
      <c r="T13" s="15">
        <v>0</v>
      </c>
      <c r="U13" s="13"/>
      <c r="V13" s="15">
        <v>0</v>
      </c>
      <c r="W13" s="13" t="s">
        <v>35</v>
      </c>
      <c r="X13" s="15" t="s">
        <v>36</v>
      </c>
      <c r="Y13" s="13" t="s">
        <v>37</v>
      </c>
    </row>
    <row x14ac:dyDescent="0.25" r="14" customHeight="1" ht="19.5">
      <c r="A14" s="5">
        <v>74020478</v>
      </c>
      <c r="B14" s="6">
        <v>81</v>
      </c>
      <c r="C14" s="7" t="s">
        <v>121</v>
      </c>
      <c r="D14" s="7" t="s">
        <v>122</v>
      </c>
      <c r="E14" s="8">
        <v>74020478</v>
      </c>
      <c r="F14" s="8">
        <v>81</v>
      </c>
      <c r="G14" s="7" t="s">
        <v>27</v>
      </c>
      <c r="H14" s="7" t="s">
        <v>123</v>
      </c>
      <c r="I14" s="7" t="s">
        <v>124</v>
      </c>
      <c r="J14" s="8">
        <f>79310037343</f>
      </c>
      <c r="K14" s="9"/>
      <c r="L14" s="7" t="s">
        <v>54</v>
      </c>
      <c r="M14" s="8">
        <v>188</v>
      </c>
      <c r="N14" s="7" t="s">
        <v>55</v>
      </c>
      <c r="O14" s="7" t="s">
        <v>56</v>
      </c>
      <c r="P14" s="7" t="s">
        <v>57</v>
      </c>
      <c r="Q14" s="8" t="s">
        <v>58</v>
      </c>
      <c r="R14" s="7" t="s">
        <v>33</v>
      </c>
      <c r="S14" s="7" t="s">
        <v>34</v>
      </c>
      <c r="T14" s="10">
        <v>0</v>
      </c>
      <c r="U14" s="7" t="s">
        <v>48</v>
      </c>
      <c r="V14" s="10" t="s">
        <v>125</v>
      </c>
      <c r="W14" s="7" t="s">
        <v>35</v>
      </c>
      <c r="X14" s="10" t="s">
        <v>36</v>
      </c>
      <c r="Y14" s="7" t="s">
        <v>126</v>
      </c>
    </row>
    <row x14ac:dyDescent="0.25" r="15" customHeight="1" ht="19.5">
      <c r="A15" s="11">
        <v>74020471</v>
      </c>
      <c r="B15" s="12">
        <v>95</v>
      </c>
      <c r="C15" s="13" t="s">
        <v>127</v>
      </c>
      <c r="D15" s="13" t="s">
        <v>128</v>
      </c>
      <c r="E15" s="14">
        <v>74020471</v>
      </c>
      <c r="F15" s="14">
        <v>95</v>
      </c>
      <c r="G15" s="13" t="s">
        <v>27</v>
      </c>
      <c r="H15" s="13" t="s">
        <v>129</v>
      </c>
      <c r="I15" s="13" t="s">
        <v>130</v>
      </c>
      <c r="J15" s="14">
        <f>74993228152</f>
      </c>
      <c r="K15" s="9"/>
      <c r="L15" s="13" t="s">
        <v>131</v>
      </c>
      <c r="M15" s="14">
        <v>66</v>
      </c>
      <c r="N15" s="13" t="s">
        <v>132</v>
      </c>
      <c r="O15" s="13" t="s">
        <v>82</v>
      </c>
      <c r="P15" s="13" t="s">
        <v>133</v>
      </c>
      <c r="Q15" s="14" t="s">
        <v>134</v>
      </c>
      <c r="R15" s="13" t="s">
        <v>33</v>
      </c>
      <c r="S15" s="13" t="s">
        <v>34</v>
      </c>
      <c r="T15" s="15">
        <v>0</v>
      </c>
      <c r="U15" s="13" t="s">
        <v>48</v>
      </c>
      <c r="V15" s="15" t="s">
        <v>49</v>
      </c>
      <c r="W15" s="13" t="s">
        <v>48</v>
      </c>
      <c r="X15" s="15" t="s">
        <v>36</v>
      </c>
      <c r="Y15" s="13" t="s">
        <v>126</v>
      </c>
    </row>
    <row x14ac:dyDescent="0.25" r="16" customHeight="1" ht="19.5">
      <c r="A16" s="5">
        <v>74020494</v>
      </c>
      <c r="B16" s="6">
        <v>96</v>
      </c>
      <c r="C16" s="7" t="s">
        <v>135</v>
      </c>
      <c r="D16" s="7" t="s">
        <v>136</v>
      </c>
      <c r="E16" s="8">
        <v>74020494</v>
      </c>
      <c r="F16" s="8">
        <v>96</v>
      </c>
      <c r="G16" s="7" t="s">
        <v>27</v>
      </c>
      <c r="H16" s="7" t="s">
        <v>137</v>
      </c>
      <c r="I16" s="7" t="s">
        <v>138</v>
      </c>
      <c r="J16" s="8">
        <f>78552922132</f>
      </c>
      <c r="K16" s="9"/>
      <c r="L16" s="7" t="s">
        <v>42</v>
      </c>
      <c r="M16" s="8">
        <v>122</v>
      </c>
      <c r="N16" s="7" t="s">
        <v>139</v>
      </c>
      <c r="O16" s="7" t="s">
        <v>44</v>
      </c>
      <c r="P16" s="7" t="s">
        <v>140</v>
      </c>
      <c r="Q16" s="8" t="s">
        <v>141</v>
      </c>
      <c r="R16" s="7" t="s">
        <v>33</v>
      </c>
      <c r="S16" s="7" t="s">
        <v>34</v>
      </c>
      <c r="T16" s="10">
        <v>0</v>
      </c>
      <c r="U16" s="7" t="s">
        <v>48</v>
      </c>
      <c r="V16" s="10" t="s">
        <v>49</v>
      </c>
      <c r="W16" s="7" t="s">
        <v>48</v>
      </c>
      <c r="X16" s="10" t="s">
        <v>36</v>
      </c>
      <c r="Y16" s="7" t="s">
        <v>37</v>
      </c>
    </row>
    <row x14ac:dyDescent="0.25" r="17" customHeight="1" ht="19.5">
      <c r="A17" s="11">
        <v>74020498</v>
      </c>
      <c r="B17" s="12">
        <v>98</v>
      </c>
      <c r="C17" s="13" t="s">
        <v>142</v>
      </c>
      <c r="D17" s="13" t="s">
        <v>143</v>
      </c>
      <c r="E17" s="14">
        <v>74020498</v>
      </c>
      <c r="F17" s="14">
        <v>98</v>
      </c>
      <c r="G17" s="13" t="s">
        <v>27</v>
      </c>
      <c r="H17" s="13" t="s">
        <v>144</v>
      </c>
      <c r="I17" s="13" t="s">
        <v>145</v>
      </c>
      <c r="J17" s="14">
        <f>78412235888</f>
      </c>
      <c r="K17" s="14">
        <v>2</v>
      </c>
      <c r="L17" s="13" t="s">
        <v>146</v>
      </c>
      <c r="M17" s="14">
        <v>53</v>
      </c>
      <c r="N17" s="13" t="s">
        <v>147</v>
      </c>
      <c r="O17" s="13" t="s">
        <v>44</v>
      </c>
      <c r="P17" s="13" t="s">
        <v>148</v>
      </c>
      <c r="Q17" s="14" t="s">
        <v>149</v>
      </c>
      <c r="R17" s="13" t="s">
        <v>33</v>
      </c>
      <c r="S17" s="13" t="s">
        <v>34</v>
      </c>
      <c r="T17" s="15">
        <v>0</v>
      </c>
      <c r="U17" s="13" t="s">
        <v>48</v>
      </c>
      <c r="V17" s="15" t="s">
        <v>49</v>
      </c>
      <c r="W17" s="13" t="s">
        <v>35</v>
      </c>
      <c r="X17" s="15" t="s">
        <v>36</v>
      </c>
      <c r="Y17" s="13" t="s">
        <v>37</v>
      </c>
    </row>
    <row x14ac:dyDescent="0.25" r="18" customHeight="1" ht="19.5">
      <c r="A18" s="5">
        <v>74020470</v>
      </c>
      <c r="B18" s="6">
        <v>99</v>
      </c>
      <c r="C18" s="7" t="s">
        <v>150</v>
      </c>
      <c r="D18" s="7" t="s">
        <v>151</v>
      </c>
      <c r="E18" s="8">
        <v>74020470</v>
      </c>
      <c r="F18" s="8">
        <v>99</v>
      </c>
      <c r="G18" s="7" t="s">
        <v>27</v>
      </c>
      <c r="H18" s="7" t="s">
        <v>152</v>
      </c>
      <c r="I18" s="7" t="s">
        <v>153</v>
      </c>
      <c r="J18" s="8">
        <f>78412235888</f>
      </c>
      <c r="K18" s="8">
        <v>1</v>
      </c>
      <c r="L18" s="7" t="s">
        <v>146</v>
      </c>
      <c r="M18" s="8">
        <v>53</v>
      </c>
      <c r="N18" s="7" t="s">
        <v>147</v>
      </c>
      <c r="O18" s="7" t="s">
        <v>44</v>
      </c>
      <c r="P18" s="7" t="s">
        <v>148</v>
      </c>
      <c r="Q18" s="8" t="s">
        <v>154</v>
      </c>
      <c r="R18" s="7" t="s">
        <v>33</v>
      </c>
      <c r="S18" s="7" t="s">
        <v>34</v>
      </c>
      <c r="T18" s="10">
        <v>0</v>
      </c>
      <c r="U18" s="7" t="s">
        <v>48</v>
      </c>
      <c r="V18" s="10" t="s">
        <v>49</v>
      </c>
      <c r="W18" s="7" t="s">
        <v>35</v>
      </c>
      <c r="X18" s="10" t="s">
        <v>36</v>
      </c>
      <c r="Y18" s="7" t="s">
        <v>37</v>
      </c>
    </row>
    <row x14ac:dyDescent="0.25" r="19" customHeight="1" ht="19.5">
      <c r="A19" s="11">
        <v>74020503</v>
      </c>
      <c r="B19" s="12">
        <v>105</v>
      </c>
      <c r="C19" s="13" t="s">
        <v>155</v>
      </c>
      <c r="D19" s="13" t="s">
        <v>156</v>
      </c>
      <c r="E19" s="14">
        <v>74020503</v>
      </c>
      <c r="F19" s="14">
        <v>105</v>
      </c>
      <c r="G19" s="13" t="s">
        <v>27</v>
      </c>
      <c r="H19" s="13" t="s">
        <v>157</v>
      </c>
      <c r="I19" s="13" t="s">
        <v>158</v>
      </c>
      <c r="J19" s="14">
        <f>73472262444</f>
      </c>
      <c r="K19" s="14">
        <v>1007</v>
      </c>
      <c r="L19" s="13" t="s">
        <v>94</v>
      </c>
      <c r="M19" s="14">
        <v>254</v>
      </c>
      <c r="N19" s="13" t="s">
        <v>159</v>
      </c>
      <c r="O19" s="13" t="s">
        <v>96</v>
      </c>
      <c r="P19" s="13" t="s">
        <v>97</v>
      </c>
      <c r="Q19" s="14" t="s">
        <v>156</v>
      </c>
      <c r="R19" s="13" t="s">
        <v>33</v>
      </c>
      <c r="S19" s="13" t="s">
        <v>34</v>
      </c>
      <c r="T19" s="15">
        <v>0</v>
      </c>
      <c r="U19" s="13" t="s">
        <v>48</v>
      </c>
      <c r="V19" s="15" t="s">
        <v>49</v>
      </c>
      <c r="W19" s="13" t="s">
        <v>48</v>
      </c>
      <c r="X19" s="15" t="s">
        <v>36</v>
      </c>
      <c r="Y19" s="13" t="s">
        <v>37</v>
      </c>
    </row>
    <row x14ac:dyDescent="0.25" r="20" customHeight="1" ht="19.5">
      <c r="A20" s="5">
        <v>74020504</v>
      </c>
      <c r="B20" s="6">
        <v>106</v>
      </c>
      <c r="C20" s="7" t="s">
        <v>160</v>
      </c>
      <c r="D20" s="7" t="s">
        <v>161</v>
      </c>
      <c r="E20" s="8">
        <v>74020504</v>
      </c>
      <c r="F20" s="8">
        <v>106</v>
      </c>
      <c r="G20" s="7" t="s">
        <v>27</v>
      </c>
      <c r="H20" s="7" t="s">
        <v>162</v>
      </c>
      <c r="I20" s="7" t="s">
        <v>163</v>
      </c>
      <c r="J20" s="8">
        <f>73472465100</f>
      </c>
      <c r="K20" s="8">
        <v>1008</v>
      </c>
      <c r="L20" s="7" t="s">
        <v>94</v>
      </c>
      <c r="M20" s="8">
        <v>251</v>
      </c>
      <c r="N20" s="7" t="s">
        <v>164</v>
      </c>
      <c r="O20" s="7" t="s">
        <v>96</v>
      </c>
      <c r="P20" s="7" t="s">
        <v>165</v>
      </c>
      <c r="Q20" s="8" t="s">
        <v>166</v>
      </c>
      <c r="R20" s="7" t="s">
        <v>33</v>
      </c>
      <c r="S20" s="7" t="s">
        <v>34</v>
      </c>
      <c r="T20" s="10">
        <v>0</v>
      </c>
      <c r="U20" s="7" t="s">
        <v>48</v>
      </c>
      <c r="V20" s="10" t="s">
        <v>49</v>
      </c>
      <c r="W20" s="7" t="s">
        <v>48</v>
      </c>
      <c r="X20" s="10" t="s">
        <v>36</v>
      </c>
      <c r="Y20" s="7" t="s">
        <v>37</v>
      </c>
    </row>
    <row x14ac:dyDescent="0.25" r="21" customHeight="1" ht="19.5">
      <c r="A21" s="11">
        <v>74020505</v>
      </c>
      <c r="B21" s="12">
        <v>107</v>
      </c>
      <c r="C21" s="13" t="s">
        <v>167</v>
      </c>
      <c r="D21" s="13" t="s">
        <v>168</v>
      </c>
      <c r="E21" s="14">
        <v>74020505</v>
      </c>
      <c r="F21" s="14">
        <v>107</v>
      </c>
      <c r="G21" s="13" t="s">
        <v>27</v>
      </c>
      <c r="H21" s="13" t="s">
        <v>169</v>
      </c>
      <c r="I21" s="13" t="s">
        <v>170</v>
      </c>
      <c r="J21" s="14">
        <f>73852535356</f>
      </c>
      <c r="K21" s="9"/>
      <c r="L21" s="13" t="s">
        <v>71</v>
      </c>
      <c r="M21" s="14">
        <v>50</v>
      </c>
      <c r="N21" s="13" t="s">
        <v>171</v>
      </c>
      <c r="O21" s="13" t="s">
        <v>73</v>
      </c>
      <c r="P21" s="13" t="s">
        <v>74</v>
      </c>
      <c r="Q21" s="14" t="s">
        <v>168</v>
      </c>
      <c r="R21" s="13" t="s">
        <v>33</v>
      </c>
      <c r="S21" s="13" t="s">
        <v>34</v>
      </c>
      <c r="T21" s="15">
        <v>0</v>
      </c>
      <c r="U21" s="13" t="s">
        <v>48</v>
      </c>
      <c r="V21" s="15" t="s">
        <v>49</v>
      </c>
      <c r="W21" s="13" t="s">
        <v>48</v>
      </c>
      <c r="X21" s="15" t="s">
        <v>36</v>
      </c>
      <c r="Y21" s="13" t="s">
        <v>37</v>
      </c>
    </row>
    <row x14ac:dyDescent="0.25" r="22" customHeight="1" ht="19.5">
      <c r="A22" s="5">
        <v>74020511</v>
      </c>
      <c r="B22" s="6">
        <v>109</v>
      </c>
      <c r="C22" s="7" t="s">
        <v>172</v>
      </c>
      <c r="D22" s="7" t="s">
        <v>173</v>
      </c>
      <c r="E22" s="8">
        <v>74020511</v>
      </c>
      <c r="F22" s="8">
        <v>109</v>
      </c>
      <c r="G22" s="7" t="s">
        <v>27</v>
      </c>
      <c r="H22" s="7" t="s">
        <v>174</v>
      </c>
      <c r="I22" s="7" t="s">
        <v>175</v>
      </c>
      <c r="J22" s="8">
        <f>79034060983</f>
      </c>
      <c r="K22" s="9"/>
      <c r="L22" s="7" t="s">
        <v>117</v>
      </c>
      <c r="M22" s="8">
        <v>210</v>
      </c>
      <c r="N22" s="7" t="s">
        <v>118</v>
      </c>
      <c r="O22" s="7" t="s">
        <v>119</v>
      </c>
      <c r="P22" s="7" t="s">
        <v>120</v>
      </c>
      <c r="Q22" s="8" t="s">
        <v>58</v>
      </c>
      <c r="R22" s="7" t="s">
        <v>33</v>
      </c>
      <c r="S22" s="7" t="s">
        <v>34</v>
      </c>
      <c r="T22" s="10">
        <v>0</v>
      </c>
      <c r="U22" s="7"/>
      <c r="V22" s="10">
        <v>0</v>
      </c>
      <c r="W22" s="7" t="s">
        <v>35</v>
      </c>
      <c r="X22" s="10" t="s">
        <v>36</v>
      </c>
      <c r="Y22" s="7" t="s">
        <v>37</v>
      </c>
    </row>
    <row x14ac:dyDescent="0.25" r="23" customHeight="1" ht="19.5">
      <c r="A23" s="11">
        <v>74020520</v>
      </c>
      <c r="B23" s="12">
        <v>116</v>
      </c>
      <c r="C23" s="13" t="s">
        <v>176</v>
      </c>
      <c r="D23" s="13" t="s">
        <v>177</v>
      </c>
      <c r="E23" s="14">
        <v>74020520</v>
      </c>
      <c r="F23" s="14">
        <v>116</v>
      </c>
      <c r="G23" s="13" t="s">
        <v>27</v>
      </c>
      <c r="H23" s="13" t="s">
        <v>178</v>
      </c>
      <c r="I23" s="13" t="s">
        <v>179</v>
      </c>
      <c r="J23" s="14">
        <f>73512208044</f>
      </c>
      <c r="K23" s="14">
        <v>1016</v>
      </c>
      <c r="L23" s="13" t="s">
        <v>94</v>
      </c>
      <c r="M23" s="14">
        <v>265</v>
      </c>
      <c r="N23" s="13" t="s">
        <v>180</v>
      </c>
      <c r="O23" s="13" t="s">
        <v>96</v>
      </c>
      <c r="P23" s="13" t="s">
        <v>181</v>
      </c>
      <c r="Q23" s="14" t="s">
        <v>182</v>
      </c>
      <c r="R23" s="13" t="s">
        <v>33</v>
      </c>
      <c r="S23" s="13" t="s">
        <v>34</v>
      </c>
      <c r="T23" s="15">
        <v>0</v>
      </c>
      <c r="U23" s="13" t="s">
        <v>48</v>
      </c>
      <c r="V23" s="15" t="s">
        <v>64</v>
      </c>
      <c r="W23" s="13" t="s">
        <v>48</v>
      </c>
      <c r="X23" s="15" t="s">
        <v>65</v>
      </c>
      <c r="Y23" s="13" t="s">
        <v>59</v>
      </c>
    </row>
    <row x14ac:dyDescent="0.25" r="24" customHeight="1" ht="18.75">
      <c r="A24" s="5">
        <v>74020521</v>
      </c>
      <c r="B24" s="6">
        <v>121</v>
      </c>
      <c r="C24" s="7" t="s">
        <v>183</v>
      </c>
      <c r="D24" s="7" t="s">
        <v>184</v>
      </c>
      <c r="E24" s="8">
        <v>74020521</v>
      </c>
      <c r="F24" s="8">
        <v>121</v>
      </c>
      <c r="G24" s="7" t="s">
        <v>27</v>
      </c>
      <c r="H24" s="7" t="s">
        <v>185</v>
      </c>
      <c r="I24" s="7" t="s">
        <v>186</v>
      </c>
      <c r="J24" s="8">
        <f>79218975619</f>
      </c>
      <c r="K24" s="9"/>
      <c r="L24" s="7" t="s">
        <v>54</v>
      </c>
      <c r="M24" s="8">
        <v>188</v>
      </c>
      <c r="N24" s="7" t="s">
        <v>55</v>
      </c>
      <c r="O24" s="7" t="s">
        <v>56</v>
      </c>
      <c r="P24" s="7" t="s">
        <v>57</v>
      </c>
      <c r="Q24" s="8" t="s">
        <v>58</v>
      </c>
      <c r="R24" s="7" t="s">
        <v>33</v>
      </c>
      <c r="S24" s="7" t="s">
        <v>34</v>
      </c>
      <c r="T24" s="10">
        <v>0</v>
      </c>
      <c r="U24" s="7" t="s">
        <v>48</v>
      </c>
      <c r="V24" s="10" t="s">
        <v>125</v>
      </c>
      <c r="W24" s="7" t="s">
        <v>48</v>
      </c>
      <c r="X24" s="10" t="s">
        <v>36</v>
      </c>
      <c r="Y24" s="7" t="s">
        <v>37</v>
      </c>
    </row>
    <row x14ac:dyDescent="0.25" r="25" customHeight="1" ht="18.75">
      <c r="A25" s="11">
        <v>74020522</v>
      </c>
      <c r="B25" s="12">
        <v>122</v>
      </c>
      <c r="C25" s="13" t="s">
        <v>187</v>
      </c>
      <c r="D25" s="13" t="s">
        <v>188</v>
      </c>
      <c r="E25" s="14">
        <v>74020522</v>
      </c>
      <c r="F25" s="14">
        <v>122</v>
      </c>
      <c r="G25" s="13" t="s">
        <v>27</v>
      </c>
      <c r="H25" s="13" t="s">
        <v>189</v>
      </c>
      <c r="I25" s="13" t="s">
        <v>190</v>
      </c>
      <c r="J25" s="14">
        <f>79218975475</f>
      </c>
      <c r="K25" s="9"/>
      <c r="L25" s="13" t="s">
        <v>54</v>
      </c>
      <c r="M25" s="14">
        <v>188</v>
      </c>
      <c r="N25" s="13" t="s">
        <v>55</v>
      </c>
      <c r="O25" s="13" t="s">
        <v>56</v>
      </c>
      <c r="P25" s="13" t="s">
        <v>57</v>
      </c>
      <c r="Q25" s="14" t="s">
        <v>58</v>
      </c>
      <c r="R25" s="13" t="s">
        <v>33</v>
      </c>
      <c r="S25" s="13" t="s">
        <v>34</v>
      </c>
      <c r="T25" s="15">
        <v>0</v>
      </c>
      <c r="U25" s="13" t="s">
        <v>48</v>
      </c>
      <c r="V25" s="15" t="s">
        <v>125</v>
      </c>
      <c r="W25" s="13" t="s">
        <v>35</v>
      </c>
      <c r="X25" s="15" t="s">
        <v>36</v>
      </c>
      <c r="Y25" s="13" t="s">
        <v>84</v>
      </c>
    </row>
    <row x14ac:dyDescent="0.25" r="26" customHeight="1" ht="18.75">
      <c r="A26" s="5">
        <v>74020523</v>
      </c>
      <c r="B26" s="6">
        <v>123</v>
      </c>
      <c r="C26" s="7" t="s">
        <v>191</v>
      </c>
      <c r="D26" s="7" t="s">
        <v>192</v>
      </c>
      <c r="E26" s="8">
        <v>74020523</v>
      </c>
      <c r="F26" s="8">
        <v>123</v>
      </c>
      <c r="G26" s="7" t="s">
        <v>27</v>
      </c>
      <c r="H26" s="7" t="s">
        <v>193</v>
      </c>
      <c r="I26" s="7" t="s">
        <v>194</v>
      </c>
      <c r="J26" s="8">
        <f>79218975612</f>
      </c>
      <c r="K26" s="9"/>
      <c r="L26" s="7" t="s">
        <v>54</v>
      </c>
      <c r="M26" s="8">
        <v>188</v>
      </c>
      <c r="N26" s="7" t="s">
        <v>55</v>
      </c>
      <c r="O26" s="7" t="s">
        <v>56</v>
      </c>
      <c r="P26" s="7" t="s">
        <v>57</v>
      </c>
      <c r="Q26" s="8" t="s">
        <v>58</v>
      </c>
      <c r="R26" s="7" t="s">
        <v>33</v>
      </c>
      <c r="S26" s="7" t="s">
        <v>34</v>
      </c>
      <c r="T26" s="10">
        <v>0</v>
      </c>
      <c r="U26" s="7" t="s">
        <v>48</v>
      </c>
      <c r="V26" s="10" t="s">
        <v>195</v>
      </c>
      <c r="W26" s="7" t="s">
        <v>35</v>
      </c>
      <c r="X26" s="10" t="s">
        <v>36</v>
      </c>
      <c r="Y26" s="7" t="s">
        <v>59</v>
      </c>
    </row>
    <row x14ac:dyDescent="0.25" r="27" customHeight="1" ht="18.75">
      <c r="A27" s="11">
        <v>74020524</v>
      </c>
      <c r="B27" s="12">
        <v>124</v>
      </c>
      <c r="C27" s="13" t="s">
        <v>196</v>
      </c>
      <c r="D27" s="13" t="s">
        <v>197</v>
      </c>
      <c r="E27" s="14">
        <v>74020524</v>
      </c>
      <c r="F27" s="14">
        <v>124</v>
      </c>
      <c r="G27" s="13" t="s">
        <v>27</v>
      </c>
      <c r="H27" s="13" t="s">
        <v>198</v>
      </c>
      <c r="I27" s="13" t="s">
        <v>199</v>
      </c>
      <c r="J27" s="14">
        <f>79218975660</f>
      </c>
      <c r="K27" s="9"/>
      <c r="L27" s="13" t="s">
        <v>54</v>
      </c>
      <c r="M27" s="14">
        <v>188</v>
      </c>
      <c r="N27" s="13" t="s">
        <v>55</v>
      </c>
      <c r="O27" s="13" t="s">
        <v>56</v>
      </c>
      <c r="P27" s="13" t="s">
        <v>57</v>
      </c>
      <c r="Q27" s="14" t="s">
        <v>58</v>
      </c>
      <c r="R27" s="13" t="s">
        <v>33</v>
      </c>
      <c r="S27" s="13" t="s">
        <v>34</v>
      </c>
      <c r="T27" s="15">
        <v>0</v>
      </c>
      <c r="U27" s="13" t="s">
        <v>48</v>
      </c>
      <c r="V27" s="15" t="s">
        <v>200</v>
      </c>
      <c r="W27" s="13" t="s">
        <v>48</v>
      </c>
      <c r="X27" s="15" t="s">
        <v>36</v>
      </c>
      <c r="Y27" s="13" t="s">
        <v>126</v>
      </c>
    </row>
    <row x14ac:dyDescent="0.25" r="28" customHeight="1" ht="18.75">
      <c r="A28" s="5">
        <v>74020541</v>
      </c>
      <c r="B28" s="6">
        <v>143</v>
      </c>
      <c r="C28" s="7" t="s">
        <v>201</v>
      </c>
      <c r="D28" s="7" t="s">
        <v>202</v>
      </c>
      <c r="E28" s="8">
        <v>74020541</v>
      </c>
      <c r="F28" s="8">
        <v>143</v>
      </c>
      <c r="G28" s="7" t="s">
        <v>27</v>
      </c>
      <c r="H28" s="7" t="s">
        <v>203</v>
      </c>
      <c r="I28" s="7" t="s">
        <v>204</v>
      </c>
      <c r="J28" s="8">
        <f>79306948815</f>
      </c>
      <c r="K28" s="9"/>
      <c r="L28" s="7" t="s">
        <v>54</v>
      </c>
      <c r="M28" s="8">
        <v>188</v>
      </c>
      <c r="N28" s="7" t="s">
        <v>55</v>
      </c>
      <c r="O28" s="7" t="s">
        <v>44</v>
      </c>
      <c r="P28" s="7" t="s">
        <v>89</v>
      </c>
      <c r="Q28" s="8" t="s">
        <v>58</v>
      </c>
      <c r="R28" s="7" t="s">
        <v>33</v>
      </c>
      <c r="S28" s="7" t="s">
        <v>34</v>
      </c>
      <c r="T28" s="10">
        <v>0</v>
      </c>
      <c r="U28" s="7"/>
      <c r="V28" s="10">
        <v>0</v>
      </c>
      <c r="W28" s="7" t="s">
        <v>48</v>
      </c>
      <c r="X28" s="10" t="s">
        <v>36</v>
      </c>
      <c r="Y28" s="7" t="s">
        <v>59</v>
      </c>
    </row>
    <row x14ac:dyDescent="0.25" r="29" customHeight="1" ht="18.75">
      <c r="A29" s="11">
        <v>74020542</v>
      </c>
      <c r="B29" s="12">
        <v>144</v>
      </c>
      <c r="C29" s="13" t="s">
        <v>205</v>
      </c>
      <c r="D29" s="13" t="s">
        <v>206</v>
      </c>
      <c r="E29" s="14">
        <v>74020542</v>
      </c>
      <c r="F29" s="14">
        <v>144</v>
      </c>
      <c r="G29" s="13" t="s">
        <v>27</v>
      </c>
      <c r="H29" s="13" t="s">
        <v>207</v>
      </c>
      <c r="I29" s="13" t="s">
        <v>208</v>
      </c>
      <c r="J29" s="14">
        <f>79218975229</f>
      </c>
      <c r="K29" s="9"/>
      <c r="L29" s="13" t="s">
        <v>54</v>
      </c>
      <c r="M29" s="14">
        <v>188</v>
      </c>
      <c r="N29" s="13" t="s">
        <v>55</v>
      </c>
      <c r="O29" s="13" t="s">
        <v>56</v>
      </c>
      <c r="P29" s="13" t="s">
        <v>209</v>
      </c>
      <c r="Q29" s="14" t="s">
        <v>58</v>
      </c>
      <c r="R29" s="13" t="s">
        <v>33</v>
      </c>
      <c r="S29" s="13" t="s">
        <v>34</v>
      </c>
      <c r="T29" s="15">
        <v>0</v>
      </c>
      <c r="U29" s="13" t="s">
        <v>48</v>
      </c>
      <c r="V29" s="15" t="s">
        <v>125</v>
      </c>
      <c r="W29" s="13" t="s">
        <v>35</v>
      </c>
      <c r="X29" s="15" t="s">
        <v>36</v>
      </c>
      <c r="Y29" s="13" t="s">
        <v>37</v>
      </c>
    </row>
    <row x14ac:dyDescent="0.25" r="30" customHeight="1" ht="18.75">
      <c r="A30" s="5">
        <v>74020543</v>
      </c>
      <c r="B30" s="6">
        <v>145</v>
      </c>
      <c r="C30" s="7" t="s">
        <v>210</v>
      </c>
      <c r="D30" s="7" t="s">
        <v>211</v>
      </c>
      <c r="E30" s="8">
        <v>74020543</v>
      </c>
      <c r="F30" s="8">
        <v>145</v>
      </c>
      <c r="G30" s="7" t="s">
        <v>27</v>
      </c>
      <c r="H30" s="7" t="s">
        <v>212</v>
      </c>
      <c r="I30" s="7" t="s">
        <v>213</v>
      </c>
      <c r="J30" s="8">
        <f>79218975749</f>
      </c>
      <c r="K30" s="9"/>
      <c r="L30" s="7" t="s">
        <v>54</v>
      </c>
      <c r="M30" s="8">
        <v>188</v>
      </c>
      <c r="N30" s="7" t="s">
        <v>55</v>
      </c>
      <c r="O30" s="7" t="s">
        <v>56</v>
      </c>
      <c r="P30" s="7" t="s">
        <v>57</v>
      </c>
      <c r="Q30" s="8" t="s">
        <v>58</v>
      </c>
      <c r="R30" s="7" t="s">
        <v>33</v>
      </c>
      <c r="S30" s="7" t="s">
        <v>34</v>
      </c>
      <c r="T30" s="10">
        <v>0</v>
      </c>
      <c r="U30" s="7" t="s">
        <v>35</v>
      </c>
      <c r="V30" s="10" t="s">
        <v>214</v>
      </c>
      <c r="W30" s="7" t="s">
        <v>48</v>
      </c>
      <c r="X30" s="10" t="s">
        <v>36</v>
      </c>
      <c r="Y30" s="7" t="s">
        <v>59</v>
      </c>
    </row>
    <row x14ac:dyDescent="0.25" r="31" customHeight="1" ht="18.75">
      <c r="A31" s="11">
        <v>74020551</v>
      </c>
      <c r="B31" s="12">
        <v>152</v>
      </c>
      <c r="C31" s="13" t="s">
        <v>215</v>
      </c>
      <c r="D31" s="13" t="s">
        <v>216</v>
      </c>
      <c r="E31" s="14">
        <v>74020551</v>
      </c>
      <c r="F31" s="14">
        <v>152</v>
      </c>
      <c r="G31" s="13" t="s">
        <v>27</v>
      </c>
      <c r="H31" s="13" t="s">
        <v>217</v>
      </c>
      <c r="I31" s="13" t="s">
        <v>218</v>
      </c>
      <c r="J31" s="14">
        <f>73532540444</f>
      </c>
      <c r="K31" s="14">
        <v>1009</v>
      </c>
      <c r="L31" s="13" t="s">
        <v>94</v>
      </c>
      <c r="M31" s="14">
        <v>263</v>
      </c>
      <c r="N31" s="13" t="s">
        <v>219</v>
      </c>
      <c r="O31" s="13" t="s">
        <v>96</v>
      </c>
      <c r="P31" s="13" t="s">
        <v>220</v>
      </c>
      <c r="Q31" s="14" t="s">
        <v>58</v>
      </c>
      <c r="R31" s="13" t="s">
        <v>33</v>
      </c>
      <c r="S31" s="13" t="s">
        <v>34</v>
      </c>
      <c r="T31" s="15">
        <v>0</v>
      </c>
      <c r="U31" s="13" t="s">
        <v>48</v>
      </c>
      <c r="V31" s="15" t="s">
        <v>125</v>
      </c>
      <c r="W31" s="13" t="s">
        <v>48</v>
      </c>
      <c r="X31" s="15" t="s">
        <v>65</v>
      </c>
      <c r="Y31" s="13" t="s">
        <v>37</v>
      </c>
    </row>
    <row x14ac:dyDescent="0.25" r="32" customHeight="1" ht="18.75">
      <c r="A32" s="5">
        <v>74020555</v>
      </c>
      <c r="B32" s="6">
        <v>153</v>
      </c>
      <c r="C32" s="7" t="s">
        <v>221</v>
      </c>
      <c r="D32" s="7" t="s">
        <v>222</v>
      </c>
      <c r="E32" s="8">
        <v>74020555</v>
      </c>
      <c r="F32" s="8">
        <v>153</v>
      </c>
      <c r="G32" s="7" t="s">
        <v>27</v>
      </c>
      <c r="H32" s="7" t="s">
        <v>223</v>
      </c>
      <c r="I32" s="7" t="s">
        <v>224</v>
      </c>
      <c r="J32" s="8">
        <f>73472262444</f>
      </c>
      <c r="K32" s="8">
        <v>1010</v>
      </c>
      <c r="L32" s="7" t="s">
        <v>94</v>
      </c>
      <c r="M32" s="8">
        <v>257</v>
      </c>
      <c r="N32" s="7" t="s">
        <v>225</v>
      </c>
      <c r="O32" s="7" t="s">
        <v>96</v>
      </c>
      <c r="P32" s="7" t="s">
        <v>97</v>
      </c>
      <c r="Q32" s="8" t="s">
        <v>222</v>
      </c>
      <c r="R32" s="7" t="s">
        <v>33</v>
      </c>
      <c r="S32" s="7" t="s">
        <v>34</v>
      </c>
      <c r="T32" s="10">
        <v>0</v>
      </c>
      <c r="U32" s="7" t="s">
        <v>48</v>
      </c>
      <c r="V32" s="10" t="s">
        <v>64</v>
      </c>
      <c r="W32" s="7" t="s">
        <v>48</v>
      </c>
      <c r="X32" s="10" t="s">
        <v>36</v>
      </c>
      <c r="Y32" s="7" t="s">
        <v>37</v>
      </c>
    </row>
    <row x14ac:dyDescent="0.25" r="33" customHeight="1" ht="18.75">
      <c r="A33" s="11">
        <v>74020558</v>
      </c>
      <c r="B33" s="12">
        <v>157</v>
      </c>
      <c r="C33" s="13" t="s">
        <v>226</v>
      </c>
      <c r="D33" s="13" t="s">
        <v>227</v>
      </c>
      <c r="E33" s="14">
        <v>74020558</v>
      </c>
      <c r="F33" s="14">
        <v>157</v>
      </c>
      <c r="G33" s="13" t="s">
        <v>27</v>
      </c>
      <c r="H33" s="13" t="s">
        <v>228</v>
      </c>
      <c r="I33" s="13" t="s">
        <v>229</v>
      </c>
      <c r="J33" s="14">
        <f>79109114225</f>
      </c>
      <c r="K33" s="9"/>
      <c r="L33" s="13" t="s">
        <v>230</v>
      </c>
      <c r="M33" s="14">
        <v>100120</v>
      </c>
      <c r="N33" s="13" t="s">
        <v>231</v>
      </c>
      <c r="O33" s="13" t="s">
        <v>232</v>
      </c>
      <c r="P33" s="13" t="s">
        <v>233</v>
      </c>
      <c r="Q33" s="14" t="s">
        <v>234</v>
      </c>
      <c r="R33" s="13" t="s">
        <v>33</v>
      </c>
      <c r="S33" s="13" t="s">
        <v>34</v>
      </c>
      <c r="T33" s="15">
        <v>0</v>
      </c>
      <c r="U33" s="13" t="s">
        <v>48</v>
      </c>
      <c r="V33" s="15" t="s">
        <v>214</v>
      </c>
      <c r="W33" s="13" t="s">
        <v>48</v>
      </c>
      <c r="X33" s="15" t="s">
        <v>36</v>
      </c>
      <c r="Y33" s="13" t="s">
        <v>37</v>
      </c>
    </row>
    <row x14ac:dyDescent="0.25" r="34" customHeight="1" ht="18.75">
      <c r="A34" s="5">
        <v>74020566</v>
      </c>
      <c r="B34" s="6">
        <v>161</v>
      </c>
      <c r="C34" s="7" t="s">
        <v>235</v>
      </c>
      <c r="D34" s="7" t="s">
        <v>236</v>
      </c>
      <c r="E34" s="8">
        <v>74020566</v>
      </c>
      <c r="F34" s="8">
        <v>161</v>
      </c>
      <c r="G34" s="7" t="s">
        <v>27</v>
      </c>
      <c r="H34" s="7" t="s">
        <v>237</v>
      </c>
      <c r="I34" s="7" t="s">
        <v>238</v>
      </c>
      <c r="J34" s="8">
        <f>74993468137</f>
      </c>
      <c r="K34" s="9"/>
      <c r="L34" s="7" t="s">
        <v>131</v>
      </c>
      <c r="M34" s="8">
        <v>65</v>
      </c>
      <c r="N34" s="7" t="s">
        <v>239</v>
      </c>
      <c r="O34" s="7" t="s">
        <v>32</v>
      </c>
      <c r="P34" s="7" t="s">
        <v>32</v>
      </c>
      <c r="Q34" s="8" t="s">
        <v>240</v>
      </c>
      <c r="R34" s="7" t="s">
        <v>33</v>
      </c>
      <c r="S34" s="7" t="s">
        <v>34</v>
      </c>
      <c r="T34" s="10">
        <v>0</v>
      </c>
      <c r="U34" s="7" t="s">
        <v>48</v>
      </c>
      <c r="V34" s="10" t="s">
        <v>64</v>
      </c>
      <c r="W34" s="7" t="s">
        <v>48</v>
      </c>
      <c r="X34" s="10" t="s">
        <v>36</v>
      </c>
      <c r="Y34" s="7" t="s">
        <v>59</v>
      </c>
    </row>
    <row x14ac:dyDescent="0.25" r="35" customHeight="1" ht="19.5">
      <c r="A35" s="11">
        <v>74020575</v>
      </c>
      <c r="B35" s="12">
        <v>175</v>
      </c>
      <c r="C35" s="13" t="s">
        <v>241</v>
      </c>
      <c r="D35" s="13" t="s">
        <v>242</v>
      </c>
      <c r="E35" s="14">
        <v>74020575</v>
      </c>
      <c r="F35" s="14">
        <v>175</v>
      </c>
      <c r="G35" s="13" t="s">
        <v>27</v>
      </c>
      <c r="H35" s="13" t="s">
        <v>243</v>
      </c>
      <c r="I35" s="13" t="s">
        <v>244</v>
      </c>
      <c r="J35" s="14">
        <f>79034061023</f>
      </c>
      <c r="K35" s="9"/>
      <c r="L35" s="13" t="s">
        <v>117</v>
      </c>
      <c r="M35" s="14">
        <v>210</v>
      </c>
      <c r="N35" s="13" t="s">
        <v>118</v>
      </c>
      <c r="O35" s="13" t="s">
        <v>119</v>
      </c>
      <c r="P35" s="13" t="s">
        <v>120</v>
      </c>
      <c r="Q35" s="14" t="s">
        <v>58</v>
      </c>
      <c r="R35" s="13" t="s">
        <v>33</v>
      </c>
      <c r="S35" s="13" t="s">
        <v>34</v>
      </c>
      <c r="T35" s="15">
        <v>0</v>
      </c>
      <c r="U35" s="13" t="s">
        <v>48</v>
      </c>
      <c r="V35" s="15" t="s">
        <v>64</v>
      </c>
      <c r="W35" s="13" t="s">
        <v>35</v>
      </c>
      <c r="X35" s="15" t="s">
        <v>65</v>
      </c>
      <c r="Y35" s="13" t="s">
        <v>37</v>
      </c>
    </row>
    <row x14ac:dyDescent="0.25" r="36" customHeight="1" ht="19.5">
      <c r="A36" s="5">
        <v>74020582</v>
      </c>
      <c r="B36" s="6">
        <v>180</v>
      </c>
      <c r="C36" s="7" t="s">
        <v>245</v>
      </c>
      <c r="D36" s="7" t="s">
        <v>246</v>
      </c>
      <c r="E36" s="8">
        <v>74020582</v>
      </c>
      <c r="F36" s="8">
        <v>180</v>
      </c>
      <c r="G36" s="7" t="s">
        <v>27</v>
      </c>
      <c r="H36" s="7" t="s">
        <v>247</v>
      </c>
      <c r="I36" s="7" t="s">
        <v>248</v>
      </c>
      <c r="J36" s="8">
        <f>78332211390</f>
      </c>
      <c r="K36" s="9"/>
      <c r="L36" s="7" t="s">
        <v>42</v>
      </c>
      <c r="M36" s="8">
        <v>111</v>
      </c>
      <c r="N36" s="7" t="s">
        <v>249</v>
      </c>
      <c r="O36" s="7" t="s">
        <v>44</v>
      </c>
      <c r="P36" s="7" t="s">
        <v>250</v>
      </c>
      <c r="Q36" s="8" t="s">
        <v>251</v>
      </c>
      <c r="R36" s="7" t="s">
        <v>33</v>
      </c>
      <c r="S36" s="7" t="s">
        <v>34</v>
      </c>
      <c r="T36" s="10">
        <v>0</v>
      </c>
      <c r="U36" s="7" t="s">
        <v>48</v>
      </c>
      <c r="V36" s="10" t="s">
        <v>125</v>
      </c>
      <c r="W36" s="7" t="s">
        <v>48</v>
      </c>
      <c r="X36" s="10" t="s">
        <v>36</v>
      </c>
      <c r="Y36" s="7" t="s">
        <v>37</v>
      </c>
    </row>
    <row x14ac:dyDescent="0.25" r="37" customHeight="1" ht="19.5">
      <c r="A37" s="11">
        <v>74020581</v>
      </c>
      <c r="B37" s="12">
        <v>181</v>
      </c>
      <c r="C37" s="13" t="s">
        <v>252</v>
      </c>
      <c r="D37" s="13" t="s">
        <v>253</v>
      </c>
      <c r="E37" s="14">
        <v>74020581</v>
      </c>
      <c r="F37" s="14">
        <v>181</v>
      </c>
      <c r="G37" s="13" t="s">
        <v>27</v>
      </c>
      <c r="H37" s="13" t="s">
        <v>254</v>
      </c>
      <c r="I37" s="13" t="s">
        <v>255</v>
      </c>
      <c r="J37" s="14">
        <f>73412655458</f>
      </c>
      <c r="K37" s="9"/>
      <c r="L37" s="13" t="s">
        <v>42</v>
      </c>
      <c r="M37" s="14">
        <v>89</v>
      </c>
      <c r="N37" s="13" t="s">
        <v>43</v>
      </c>
      <c r="O37" s="13" t="s">
        <v>44</v>
      </c>
      <c r="P37" s="13" t="s">
        <v>45</v>
      </c>
      <c r="Q37" s="14" t="s">
        <v>256</v>
      </c>
      <c r="R37" s="13" t="s">
        <v>33</v>
      </c>
      <c r="S37" s="13" t="s">
        <v>34</v>
      </c>
      <c r="T37" s="15">
        <v>0</v>
      </c>
      <c r="U37" s="13" t="s">
        <v>48</v>
      </c>
      <c r="V37" s="15" t="s">
        <v>125</v>
      </c>
      <c r="W37" s="13" t="s">
        <v>48</v>
      </c>
      <c r="X37" s="15" t="s">
        <v>36</v>
      </c>
      <c r="Y37" s="13" t="s">
        <v>37</v>
      </c>
    </row>
    <row x14ac:dyDescent="0.25" r="38" customHeight="1" ht="19.5">
      <c r="A38" s="5">
        <v>74020588</v>
      </c>
      <c r="B38" s="6">
        <v>182</v>
      </c>
      <c r="C38" s="7" t="s">
        <v>257</v>
      </c>
      <c r="D38" s="7" t="s">
        <v>258</v>
      </c>
      <c r="E38" s="8">
        <v>74020588</v>
      </c>
      <c r="F38" s="8">
        <v>182</v>
      </c>
      <c r="G38" s="7" t="s">
        <v>27</v>
      </c>
      <c r="H38" s="7" t="s">
        <v>259</v>
      </c>
      <c r="I38" s="7" t="s">
        <v>260</v>
      </c>
      <c r="J38" s="8">
        <f>79636300446</f>
      </c>
      <c r="K38" s="9"/>
      <c r="L38" s="7" t="s">
        <v>30</v>
      </c>
      <c r="M38" s="8">
        <v>56</v>
      </c>
      <c r="N38" s="7" t="s">
        <v>31</v>
      </c>
      <c r="O38" s="7" t="s">
        <v>32</v>
      </c>
      <c r="P38" s="7" t="s">
        <v>32</v>
      </c>
      <c r="Q38" s="8" t="s">
        <v>261</v>
      </c>
      <c r="R38" s="7" t="s">
        <v>33</v>
      </c>
      <c r="S38" s="7" t="s">
        <v>34</v>
      </c>
      <c r="T38" s="10">
        <v>0</v>
      </c>
      <c r="U38" s="7"/>
      <c r="V38" s="10">
        <v>0</v>
      </c>
      <c r="W38" s="7" t="s">
        <v>35</v>
      </c>
      <c r="X38" s="10" t="s">
        <v>36</v>
      </c>
      <c r="Y38" s="7" t="s">
        <v>37</v>
      </c>
    </row>
    <row x14ac:dyDescent="0.25" r="39" customHeight="1" ht="19.5">
      <c r="A39" s="11">
        <v>74020592</v>
      </c>
      <c r="B39" s="12">
        <v>186</v>
      </c>
      <c r="C39" s="13" t="s">
        <v>262</v>
      </c>
      <c r="D39" s="13" t="s">
        <v>263</v>
      </c>
      <c r="E39" s="14">
        <v>74020592</v>
      </c>
      <c r="F39" s="14">
        <v>186</v>
      </c>
      <c r="G39" s="13" t="s">
        <v>27</v>
      </c>
      <c r="H39" s="13" t="s">
        <v>264</v>
      </c>
      <c r="I39" s="13" t="s">
        <v>265</v>
      </c>
      <c r="J39" s="14">
        <f>74952361132</f>
      </c>
      <c r="K39" s="9"/>
      <c r="L39" s="13" t="s">
        <v>266</v>
      </c>
      <c r="M39" s="14">
        <v>225</v>
      </c>
      <c r="N39" s="13" t="s">
        <v>267</v>
      </c>
      <c r="O39" s="13" t="s">
        <v>82</v>
      </c>
      <c r="P39" s="13" t="s">
        <v>268</v>
      </c>
      <c r="Q39" s="14" t="s">
        <v>269</v>
      </c>
      <c r="R39" s="13" t="s">
        <v>33</v>
      </c>
      <c r="S39" s="13" t="s">
        <v>34</v>
      </c>
      <c r="T39" s="15">
        <v>0</v>
      </c>
      <c r="U39" s="13" t="s">
        <v>48</v>
      </c>
      <c r="V39" s="15" t="s">
        <v>214</v>
      </c>
      <c r="W39" s="13" t="s">
        <v>48</v>
      </c>
      <c r="X39" s="15" t="s">
        <v>36</v>
      </c>
      <c r="Y39" s="13" t="s">
        <v>37</v>
      </c>
    </row>
    <row x14ac:dyDescent="0.25" r="40" customHeight="1" ht="19.5">
      <c r="A40" s="5">
        <v>74020591</v>
      </c>
      <c r="B40" s="6">
        <v>187</v>
      </c>
      <c r="C40" s="7" t="s">
        <v>270</v>
      </c>
      <c r="D40" s="7" t="s">
        <v>271</v>
      </c>
      <c r="E40" s="8">
        <v>74020591</v>
      </c>
      <c r="F40" s="8">
        <v>187</v>
      </c>
      <c r="G40" s="7" t="s">
        <v>27</v>
      </c>
      <c r="H40" s="7" t="s">
        <v>272</v>
      </c>
      <c r="I40" s="7" t="s">
        <v>273</v>
      </c>
      <c r="J40" s="8">
        <f>79636308709</f>
      </c>
      <c r="K40" s="9"/>
      <c r="L40" s="7" t="s">
        <v>30</v>
      </c>
      <c r="M40" s="8">
        <v>56</v>
      </c>
      <c r="N40" s="7" t="s">
        <v>31</v>
      </c>
      <c r="O40" s="7" t="s">
        <v>232</v>
      </c>
      <c r="P40" s="7" t="s">
        <v>274</v>
      </c>
      <c r="Q40" s="8" t="s">
        <v>58</v>
      </c>
      <c r="R40" s="7" t="s">
        <v>33</v>
      </c>
      <c r="S40" s="7" t="s">
        <v>34</v>
      </c>
      <c r="T40" s="10">
        <v>0</v>
      </c>
      <c r="U40" s="7" t="s">
        <v>48</v>
      </c>
      <c r="V40" s="10" t="s">
        <v>64</v>
      </c>
      <c r="W40" s="7" t="s">
        <v>35</v>
      </c>
      <c r="X40" s="10" t="s">
        <v>65</v>
      </c>
      <c r="Y40" s="7" t="s">
        <v>37</v>
      </c>
    </row>
    <row x14ac:dyDescent="0.25" r="41" customHeight="1" ht="19.5">
      <c r="A41" s="11">
        <v>74020593</v>
      </c>
      <c r="B41" s="12">
        <v>188</v>
      </c>
      <c r="C41" s="13" t="s">
        <v>275</v>
      </c>
      <c r="D41" s="13" t="s">
        <v>276</v>
      </c>
      <c r="E41" s="14">
        <v>74020593</v>
      </c>
      <c r="F41" s="14">
        <v>188</v>
      </c>
      <c r="G41" s="13" t="s">
        <v>27</v>
      </c>
      <c r="H41" s="13" t="s">
        <v>277</v>
      </c>
      <c r="I41" s="13" t="s">
        <v>278</v>
      </c>
      <c r="J41" s="14">
        <f>73519490230</f>
      </c>
      <c r="K41" s="14">
        <v>1011</v>
      </c>
      <c r="L41" s="13" t="s">
        <v>94</v>
      </c>
      <c r="M41" s="14">
        <v>262</v>
      </c>
      <c r="N41" s="13" t="s">
        <v>279</v>
      </c>
      <c r="O41" s="13" t="s">
        <v>96</v>
      </c>
      <c r="P41" s="13" t="s">
        <v>280</v>
      </c>
      <c r="Q41" s="14" t="s">
        <v>281</v>
      </c>
      <c r="R41" s="13" t="s">
        <v>33</v>
      </c>
      <c r="S41" s="13" t="s">
        <v>34</v>
      </c>
      <c r="T41" s="15">
        <v>1</v>
      </c>
      <c r="U41" s="13" t="s">
        <v>48</v>
      </c>
      <c r="V41" s="15" t="s">
        <v>64</v>
      </c>
      <c r="W41" s="13" t="s">
        <v>48</v>
      </c>
      <c r="X41" s="15" t="s">
        <v>36</v>
      </c>
      <c r="Y41" s="13" t="s">
        <v>37</v>
      </c>
    </row>
    <row x14ac:dyDescent="0.25" r="42" customHeight="1" ht="19.5">
      <c r="A42" s="5">
        <v>74020611</v>
      </c>
      <c r="B42" s="6">
        <v>189</v>
      </c>
      <c r="C42" s="7" t="s">
        <v>282</v>
      </c>
      <c r="D42" s="7" t="s">
        <v>283</v>
      </c>
      <c r="E42" s="8">
        <v>74020611</v>
      </c>
      <c r="F42" s="8">
        <v>189</v>
      </c>
      <c r="G42" s="7" t="s">
        <v>27</v>
      </c>
      <c r="H42" s="7" t="s">
        <v>284</v>
      </c>
      <c r="I42" s="7" t="s">
        <v>285</v>
      </c>
      <c r="J42" s="8">
        <f>74993806294</f>
      </c>
      <c r="K42" s="9"/>
      <c r="L42" s="7" t="s">
        <v>131</v>
      </c>
      <c r="M42" s="8">
        <v>64</v>
      </c>
      <c r="N42" s="7" t="s">
        <v>286</v>
      </c>
      <c r="O42" s="7" t="s">
        <v>32</v>
      </c>
      <c r="P42" s="7" t="s">
        <v>32</v>
      </c>
      <c r="Q42" s="8" t="s">
        <v>287</v>
      </c>
      <c r="R42" s="7" t="s">
        <v>33</v>
      </c>
      <c r="S42" s="7" t="s">
        <v>34</v>
      </c>
      <c r="T42" s="10">
        <v>0</v>
      </c>
      <c r="U42" s="7" t="s">
        <v>48</v>
      </c>
      <c r="V42" s="10" t="s">
        <v>214</v>
      </c>
      <c r="W42" s="7" t="s">
        <v>48</v>
      </c>
      <c r="X42" s="10" t="s">
        <v>36</v>
      </c>
      <c r="Y42" s="7" t="s">
        <v>59</v>
      </c>
    </row>
    <row x14ac:dyDescent="0.25" r="43" customHeight="1" ht="19.5">
      <c r="A43" s="11">
        <v>74020605</v>
      </c>
      <c r="B43" s="12">
        <v>200</v>
      </c>
      <c r="C43" s="13" t="s">
        <v>288</v>
      </c>
      <c r="D43" s="13" t="s">
        <v>289</v>
      </c>
      <c r="E43" s="14">
        <v>74020605</v>
      </c>
      <c r="F43" s="14">
        <v>200</v>
      </c>
      <c r="G43" s="13" t="s">
        <v>27</v>
      </c>
      <c r="H43" s="13" t="s">
        <v>290</v>
      </c>
      <c r="I43" s="13" t="s">
        <v>291</v>
      </c>
      <c r="J43" s="14">
        <f>79274578361</f>
      </c>
      <c r="K43" s="9"/>
      <c r="L43" s="13" t="s">
        <v>54</v>
      </c>
      <c r="M43" s="14">
        <v>188</v>
      </c>
      <c r="N43" s="13" t="s">
        <v>55</v>
      </c>
      <c r="O43" s="13" t="s">
        <v>44</v>
      </c>
      <c r="P43" s="13" t="s">
        <v>292</v>
      </c>
      <c r="Q43" s="14" t="s">
        <v>182</v>
      </c>
      <c r="R43" s="13" t="s">
        <v>33</v>
      </c>
      <c r="S43" s="13" t="s">
        <v>34</v>
      </c>
      <c r="T43" s="15">
        <v>0</v>
      </c>
      <c r="U43" s="13"/>
      <c r="V43" s="15">
        <v>0</v>
      </c>
      <c r="W43" s="13" t="s">
        <v>35</v>
      </c>
      <c r="X43" s="15" t="s">
        <v>65</v>
      </c>
      <c r="Y43" s="13" t="s">
        <v>37</v>
      </c>
    </row>
    <row x14ac:dyDescent="0.25" r="44" customHeight="1" ht="19.5">
      <c r="A44" s="5">
        <v>74020606</v>
      </c>
      <c r="B44" s="6">
        <v>202</v>
      </c>
      <c r="C44" s="7" t="s">
        <v>293</v>
      </c>
      <c r="D44" s="7" t="s">
        <v>294</v>
      </c>
      <c r="E44" s="8">
        <v>74020606</v>
      </c>
      <c r="F44" s="8">
        <v>202</v>
      </c>
      <c r="G44" s="7" t="s">
        <v>27</v>
      </c>
      <c r="H44" s="7" t="s">
        <v>295</v>
      </c>
      <c r="I44" s="7" t="s">
        <v>296</v>
      </c>
      <c r="J44" s="8">
        <f>79218975754</f>
      </c>
      <c r="K44" s="9"/>
      <c r="L44" s="7" t="s">
        <v>54</v>
      </c>
      <c r="M44" s="8">
        <v>188</v>
      </c>
      <c r="N44" s="7" t="s">
        <v>55</v>
      </c>
      <c r="O44" s="7" t="s">
        <v>56</v>
      </c>
      <c r="P44" s="7" t="s">
        <v>57</v>
      </c>
      <c r="Q44" s="8" t="s">
        <v>58</v>
      </c>
      <c r="R44" s="7" t="s">
        <v>33</v>
      </c>
      <c r="S44" s="7" t="s">
        <v>34</v>
      </c>
      <c r="T44" s="10">
        <v>0</v>
      </c>
      <c r="U44" s="7" t="s">
        <v>48</v>
      </c>
      <c r="V44" s="10" t="s">
        <v>125</v>
      </c>
      <c r="W44" s="7" t="s">
        <v>48</v>
      </c>
      <c r="X44" s="10" t="s">
        <v>36</v>
      </c>
      <c r="Y44" s="7" t="s">
        <v>37</v>
      </c>
    </row>
    <row x14ac:dyDescent="0.25" r="45" customHeight="1" ht="19.5">
      <c r="A45" s="11">
        <v>74020616</v>
      </c>
      <c r="B45" s="12">
        <v>208</v>
      </c>
      <c r="C45" s="13" t="s">
        <v>297</v>
      </c>
      <c r="D45" s="13" t="s">
        <v>298</v>
      </c>
      <c r="E45" s="14">
        <v>74020616</v>
      </c>
      <c r="F45" s="14">
        <v>208</v>
      </c>
      <c r="G45" s="13" t="s">
        <v>27</v>
      </c>
      <c r="H45" s="13" t="s">
        <v>299</v>
      </c>
      <c r="I45" s="13" t="s">
        <v>300</v>
      </c>
      <c r="J45" s="14">
        <f>79210242312</f>
      </c>
      <c r="K45" s="9"/>
      <c r="L45" s="13" t="s">
        <v>54</v>
      </c>
      <c r="M45" s="14">
        <v>188</v>
      </c>
      <c r="N45" s="13" t="s">
        <v>55</v>
      </c>
      <c r="O45" s="13" t="s">
        <v>56</v>
      </c>
      <c r="P45" s="13" t="s">
        <v>301</v>
      </c>
      <c r="Q45" s="14" t="s">
        <v>182</v>
      </c>
      <c r="R45" s="13" t="s">
        <v>33</v>
      </c>
      <c r="S45" s="13" t="s">
        <v>34</v>
      </c>
      <c r="T45" s="15">
        <v>0</v>
      </c>
      <c r="U45" s="13"/>
      <c r="V45" s="15">
        <v>0</v>
      </c>
      <c r="W45" s="13" t="s">
        <v>35</v>
      </c>
      <c r="X45" s="15" t="s">
        <v>65</v>
      </c>
      <c r="Y45" s="13" t="s">
        <v>37</v>
      </c>
    </row>
    <row x14ac:dyDescent="0.25" r="46" customHeight="1" ht="19.5">
      <c r="A46" s="5">
        <v>74020619</v>
      </c>
      <c r="B46" s="6">
        <v>209</v>
      </c>
      <c r="C46" s="7" t="s">
        <v>302</v>
      </c>
      <c r="D46" s="7" t="s">
        <v>303</v>
      </c>
      <c r="E46" s="8">
        <v>74020619</v>
      </c>
      <c r="F46" s="8">
        <v>209</v>
      </c>
      <c r="G46" s="7" t="s">
        <v>27</v>
      </c>
      <c r="H46" s="7" t="s">
        <v>304</v>
      </c>
      <c r="I46" s="7" t="s">
        <v>305</v>
      </c>
      <c r="J46" s="8">
        <f>79218975802</f>
      </c>
      <c r="K46" s="9"/>
      <c r="L46" s="7" t="s">
        <v>54</v>
      </c>
      <c r="M46" s="8">
        <v>188</v>
      </c>
      <c r="N46" s="7" t="s">
        <v>55</v>
      </c>
      <c r="O46" s="7" t="s">
        <v>56</v>
      </c>
      <c r="P46" s="7" t="s">
        <v>57</v>
      </c>
      <c r="Q46" s="8" t="s">
        <v>58</v>
      </c>
      <c r="R46" s="7" t="s">
        <v>33</v>
      </c>
      <c r="S46" s="7" t="s">
        <v>34</v>
      </c>
      <c r="T46" s="10">
        <v>0</v>
      </c>
      <c r="U46" s="7" t="s">
        <v>48</v>
      </c>
      <c r="V46" s="10" t="s">
        <v>125</v>
      </c>
      <c r="W46" s="7" t="s">
        <v>48</v>
      </c>
      <c r="X46" s="10" t="s">
        <v>36</v>
      </c>
      <c r="Y46" s="7" t="s">
        <v>59</v>
      </c>
    </row>
    <row x14ac:dyDescent="0.25" r="47" customHeight="1" ht="19.5">
      <c r="A47" s="11">
        <v>74020618</v>
      </c>
      <c r="B47" s="12">
        <v>210</v>
      </c>
      <c r="C47" s="13" t="s">
        <v>306</v>
      </c>
      <c r="D47" s="13" t="s">
        <v>307</v>
      </c>
      <c r="E47" s="14">
        <v>74020618</v>
      </c>
      <c r="F47" s="14">
        <v>210</v>
      </c>
      <c r="G47" s="13" t="s">
        <v>27</v>
      </c>
      <c r="H47" s="13" t="s">
        <v>308</v>
      </c>
      <c r="I47" s="13" t="s">
        <v>309</v>
      </c>
      <c r="J47" s="14">
        <f>79218975618</f>
      </c>
      <c r="K47" s="9"/>
      <c r="L47" s="13" t="s">
        <v>54</v>
      </c>
      <c r="M47" s="14">
        <v>188</v>
      </c>
      <c r="N47" s="13" t="s">
        <v>55</v>
      </c>
      <c r="O47" s="13" t="s">
        <v>56</v>
      </c>
      <c r="P47" s="13" t="s">
        <v>57</v>
      </c>
      <c r="Q47" s="14" t="s">
        <v>58</v>
      </c>
      <c r="R47" s="13" t="s">
        <v>33</v>
      </c>
      <c r="S47" s="13" t="s">
        <v>34</v>
      </c>
      <c r="T47" s="15">
        <v>0</v>
      </c>
      <c r="U47" s="13" t="s">
        <v>48</v>
      </c>
      <c r="V47" s="15" t="s">
        <v>125</v>
      </c>
      <c r="W47" s="13" t="s">
        <v>48</v>
      </c>
      <c r="X47" s="15" t="s">
        <v>36</v>
      </c>
      <c r="Y47" s="13" t="s">
        <v>59</v>
      </c>
    </row>
    <row x14ac:dyDescent="0.25" r="48" customHeight="1" ht="19.5">
      <c r="A48" s="5">
        <v>74020617</v>
      </c>
      <c r="B48" s="6">
        <v>211</v>
      </c>
      <c r="C48" s="7" t="s">
        <v>310</v>
      </c>
      <c r="D48" s="7" t="s">
        <v>311</v>
      </c>
      <c r="E48" s="8">
        <v>74020617</v>
      </c>
      <c r="F48" s="8">
        <v>211</v>
      </c>
      <c r="G48" s="7" t="s">
        <v>27</v>
      </c>
      <c r="H48" s="7" t="s">
        <v>312</v>
      </c>
      <c r="I48" s="7" t="s">
        <v>313</v>
      </c>
      <c r="J48" s="8">
        <f>79315001669</f>
      </c>
      <c r="K48" s="9"/>
      <c r="L48" s="7" t="s">
        <v>54</v>
      </c>
      <c r="M48" s="8">
        <v>188</v>
      </c>
      <c r="N48" s="7" t="s">
        <v>55</v>
      </c>
      <c r="O48" s="7" t="s">
        <v>56</v>
      </c>
      <c r="P48" s="7" t="s">
        <v>314</v>
      </c>
      <c r="Q48" s="8" t="s">
        <v>58</v>
      </c>
      <c r="R48" s="7" t="s">
        <v>33</v>
      </c>
      <c r="S48" s="7" t="s">
        <v>34</v>
      </c>
      <c r="T48" s="10">
        <v>0</v>
      </c>
      <c r="U48" s="7" t="s">
        <v>48</v>
      </c>
      <c r="V48" s="10" t="s">
        <v>125</v>
      </c>
      <c r="W48" s="7" t="s">
        <v>35</v>
      </c>
      <c r="X48" s="10" t="s">
        <v>65</v>
      </c>
      <c r="Y48" s="7" t="s">
        <v>37</v>
      </c>
    </row>
    <row x14ac:dyDescent="0.25" r="49" customHeight="1" ht="19.5">
      <c r="A49" s="11">
        <v>74020615</v>
      </c>
      <c r="B49" s="12">
        <v>212</v>
      </c>
      <c r="C49" s="13" t="s">
        <v>315</v>
      </c>
      <c r="D49" s="13" t="s">
        <v>316</v>
      </c>
      <c r="E49" s="14">
        <v>74020615</v>
      </c>
      <c r="F49" s="14">
        <v>212</v>
      </c>
      <c r="G49" s="13" t="s">
        <v>27</v>
      </c>
      <c r="H49" s="13" t="s">
        <v>317</v>
      </c>
      <c r="I49" s="13" t="s">
        <v>318</v>
      </c>
      <c r="J49" s="14">
        <f>79310059816</f>
      </c>
      <c r="K49" s="9"/>
      <c r="L49" s="13" t="s">
        <v>54</v>
      </c>
      <c r="M49" s="14">
        <v>188</v>
      </c>
      <c r="N49" s="13" t="s">
        <v>55</v>
      </c>
      <c r="O49" s="13" t="s">
        <v>56</v>
      </c>
      <c r="P49" s="13" t="s">
        <v>57</v>
      </c>
      <c r="Q49" s="14" t="s">
        <v>58</v>
      </c>
      <c r="R49" s="13" t="s">
        <v>33</v>
      </c>
      <c r="S49" s="13" t="s">
        <v>34</v>
      </c>
      <c r="T49" s="15">
        <v>0</v>
      </c>
      <c r="U49" s="13" t="s">
        <v>48</v>
      </c>
      <c r="V49" s="15" t="s">
        <v>125</v>
      </c>
      <c r="W49" s="13" t="s">
        <v>35</v>
      </c>
      <c r="X49" s="15" t="s">
        <v>36</v>
      </c>
      <c r="Y49" s="13" t="s">
        <v>84</v>
      </c>
    </row>
    <row x14ac:dyDescent="0.25" r="50" customHeight="1" ht="19.5">
      <c r="A50" s="5">
        <v>74020621</v>
      </c>
      <c r="B50" s="6">
        <v>214</v>
      </c>
      <c r="C50" s="7" t="s">
        <v>319</v>
      </c>
      <c r="D50" s="7" t="s">
        <v>320</v>
      </c>
      <c r="E50" s="8">
        <v>74020621</v>
      </c>
      <c r="F50" s="8">
        <v>214</v>
      </c>
      <c r="G50" s="7" t="s">
        <v>27</v>
      </c>
      <c r="H50" s="7" t="s">
        <v>321</v>
      </c>
      <c r="I50" s="7" t="s">
        <v>322</v>
      </c>
      <c r="J50" s="8">
        <f>79636302250</f>
      </c>
      <c r="K50" s="9"/>
      <c r="L50" s="7" t="s">
        <v>30</v>
      </c>
      <c r="M50" s="8">
        <v>56</v>
      </c>
      <c r="N50" s="7" t="s">
        <v>31</v>
      </c>
      <c r="O50" s="7" t="s">
        <v>232</v>
      </c>
      <c r="P50" s="7" t="s">
        <v>274</v>
      </c>
      <c r="Q50" s="8" t="s">
        <v>58</v>
      </c>
      <c r="R50" s="7" t="s">
        <v>33</v>
      </c>
      <c r="S50" s="7" t="s">
        <v>34</v>
      </c>
      <c r="T50" s="10">
        <v>0</v>
      </c>
      <c r="U50" s="7" t="s">
        <v>48</v>
      </c>
      <c r="V50" s="10" t="s">
        <v>64</v>
      </c>
      <c r="W50" s="7" t="s">
        <v>35</v>
      </c>
      <c r="X50" s="10" t="s">
        <v>65</v>
      </c>
      <c r="Y50" s="7" t="s">
        <v>59</v>
      </c>
    </row>
    <row x14ac:dyDescent="0.25" r="51" customHeight="1" ht="18.75">
      <c r="A51" s="11">
        <v>74020624</v>
      </c>
      <c r="B51" s="12">
        <v>217</v>
      </c>
      <c r="C51" s="13" t="s">
        <v>323</v>
      </c>
      <c r="D51" s="13" t="s">
        <v>324</v>
      </c>
      <c r="E51" s="14">
        <v>74020624</v>
      </c>
      <c r="F51" s="14">
        <v>217</v>
      </c>
      <c r="G51" s="13" t="s">
        <v>27</v>
      </c>
      <c r="H51" s="13" t="s">
        <v>325</v>
      </c>
      <c r="I51" s="13" t="s">
        <v>326</v>
      </c>
      <c r="J51" s="14">
        <f>78452659937</f>
      </c>
      <c r="K51" s="9"/>
      <c r="L51" s="13" t="s">
        <v>327</v>
      </c>
      <c r="M51" s="14">
        <v>100623</v>
      </c>
      <c r="N51" s="13" t="s">
        <v>328</v>
      </c>
      <c r="O51" s="13" t="s">
        <v>44</v>
      </c>
      <c r="P51" s="13" t="s">
        <v>329</v>
      </c>
      <c r="Q51" s="14" t="s">
        <v>330</v>
      </c>
      <c r="R51" s="13" t="s">
        <v>33</v>
      </c>
      <c r="S51" s="13" t="s">
        <v>34</v>
      </c>
      <c r="T51" s="15">
        <v>0</v>
      </c>
      <c r="U51" s="13" t="s">
        <v>48</v>
      </c>
      <c r="V51" s="15" t="s">
        <v>200</v>
      </c>
      <c r="W51" s="13" t="s">
        <v>48</v>
      </c>
      <c r="X51" s="15" t="s">
        <v>36</v>
      </c>
      <c r="Y51" s="13" t="s">
        <v>126</v>
      </c>
    </row>
    <row x14ac:dyDescent="0.25" r="52" customHeight="1" ht="18.75">
      <c r="A52" s="5">
        <v>74020644</v>
      </c>
      <c r="B52" s="6">
        <v>224</v>
      </c>
      <c r="C52" s="7" t="s">
        <v>331</v>
      </c>
      <c r="D52" s="7" t="s">
        <v>332</v>
      </c>
      <c r="E52" s="8">
        <v>74020644</v>
      </c>
      <c r="F52" s="8">
        <v>224</v>
      </c>
      <c r="G52" s="7" t="s">
        <v>27</v>
      </c>
      <c r="H52" s="7" t="s">
        <v>333</v>
      </c>
      <c r="I52" s="7" t="s">
        <v>334</v>
      </c>
      <c r="J52" s="8">
        <f>79315001670</f>
      </c>
      <c r="K52" s="9"/>
      <c r="L52" s="7" t="s">
        <v>54</v>
      </c>
      <c r="M52" s="8">
        <v>188</v>
      </c>
      <c r="N52" s="7" t="s">
        <v>55</v>
      </c>
      <c r="O52" s="7" t="s">
        <v>56</v>
      </c>
      <c r="P52" s="7" t="s">
        <v>335</v>
      </c>
      <c r="Q52" s="8" t="s">
        <v>58</v>
      </c>
      <c r="R52" s="7" t="s">
        <v>33</v>
      </c>
      <c r="S52" s="7" t="s">
        <v>34</v>
      </c>
      <c r="T52" s="10">
        <v>0</v>
      </c>
      <c r="U52" s="7"/>
      <c r="V52" s="10">
        <v>0</v>
      </c>
      <c r="W52" s="7" t="s">
        <v>35</v>
      </c>
      <c r="X52" s="10" t="s">
        <v>36</v>
      </c>
      <c r="Y52" s="7" t="s">
        <v>84</v>
      </c>
    </row>
    <row x14ac:dyDescent="0.25" r="53" customHeight="1" ht="18.75">
      <c r="A53" s="11">
        <v>74020646</v>
      </c>
      <c r="B53" s="12">
        <v>226</v>
      </c>
      <c r="C53" s="13" t="s">
        <v>336</v>
      </c>
      <c r="D53" s="13" t="s">
        <v>337</v>
      </c>
      <c r="E53" s="14">
        <v>74020646</v>
      </c>
      <c r="F53" s="14">
        <v>226</v>
      </c>
      <c r="G53" s="13" t="s">
        <v>27</v>
      </c>
      <c r="H53" s="13" t="s">
        <v>338</v>
      </c>
      <c r="I53" s="13" t="s">
        <v>339</v>
      </c>
      <c r="J53" s="14">
        <f>79218975841</f>
      </c>
      <c r="K53" s="9"/>
      <c r="L53" s="13" t="s">
        <v>54</v>
      </c>
      <c r="M53" s="14">
        <v>188</v>
      </c>
      <c r="N53" s="13" t="s">
        <v>55</v>
      </c>
      <c r="O53" s="13" t="s">
        <v>56</v>
      </c>
      <c r="P53" s="13" t="s">
        <v>340</v>
      </c>
      <c r="Q53" s="14" t="s">
        <v>182</v>
      </c>
      <c r="R53" s="13" t="s">
        <v>33</v>
      </c>
      <c r="S53" s="13" t="s">
        <v>34</v>
      </c>
      <c r="T53" s="15">
        <v>0</v>
      </c>
      <c r="U53" s="13" t="s">
        <v>48</v>
      </c>
      <c r="V53" s="15" t="s">
        <v>125</v>
      </c>
      <c r="W53" s="13" t="s">
        <v>48</v>
      </c>
      <c r="X53" s="15" t="s">
        <v>36</v>
      </c>
      <c r="Y53" s="13" t="s">
        <v>37</v>
      </c>
    </row>
    <row x14ac:dyDescent="0.25" r="54" customHeight="1" ht="18.75">
      <c r="A54" s="5">
        <v>74020647</v>
      </c>
      <c r="B54" s="6">
        <v>227</v>
      </c>
      <c r="C54" s="7" t="s">
        <v>341</v>
      </c>
      <c r="D54" s="7" t="s">
        <v>342</v>
      </c>
      <c r="E54" s="8">
        <v>74020647</v>
      </c>
      <c r="F54" s="8">
        <v>227</v>
      </c>
      <c r="G54" s="7" t="s">
        <v>27</v>
      </c>
      <c r="H54" s="7" t="s">
        <v>343</v>
      </c>
      <c r="I54" s="7" t="s">
        <v>344</v>
      </c>
      <c r="J54" s="8">
        <f>79650034887</f>
      </c>
      <c r="K54" s="9"/>
      <c r="L54" s="7" t="s">
        <v>54</v>
      </c>
      <c r="M54" s="8">
        <v>188</v>
      </c>
      <c r="N54" s="7" t="s">
        <v>55</v>
      </c>
      <c r="O54" s="7" t="s">
        <v>56</v>
      </c>
      <c r="P54" s="7" t="s">
        <v>57</v>
      </c>
      <c r="Q54" s="8" t="s">
        <v>58</v>
      </c>
      <c r="R54" s="7" t="s">
        <v>33</v>
      </c>
      <c r="S54" s="7" t="s">
        <v>34</v>
      </c>
      <c r="T54" s="10">
        <v>0</v>
      </c>
      <c r="U54" s="7" t="s">
        <v>48</v>
      </c>
      <c r="V54" s="10" t="s">
        <v>125</v>
      </c>
      <c r="W54" s="7" t="s">
        <v>48</v>
      </c>
      <c r="X54" s="10" t="s">
        <v>36</v>
      </c>
      <c r="Y54" s="7" t="s">
        <v>59</v>
      </c>
    </row>
    <row x14ac:dyDescent="0.25" r="55" customHeight="1" ht="18.75">
      <c r="A55" s="11">
        <v>74020648</v>
      </c>
      <c r="B55" s="12">
        <v>228</v>
      </c>
      <c r="C55" s="13" t="s">
        <v>345</v>
      </c>
      <c r="D55" s="13" t="s">
        <v>346</v>
      </c>
      <c r="E55" s="14">
        <v>74020648</v>
      </c>
      <c r="F55" s="14">
        <v>228</v>
      </c>
      <c r="G55" s="13" t="s">
        <v>27</v>
      </c>
      <c r="H55" s="13" t="s">
        <v>347</v>
      </c>
      <c r="I55" s="13" t="s">
        <v>348</v>
      </c>
      <c r="J55" s="14">
        <f>79218975793</f>
      </c>
      <c r="K55" s="9"/>
      <c r="L55" s="13" t="s">
        <v>54</v>
      </c>
      <c r="M55" s="14">
        <v>188</v>
      </c>
      <c r="N55" s="13" t="s">
        <v>55</v>
      </c>
      <c r="O55" s="13" t="s">
        <v>56</v>
      </c>
      <c r="P55" s="13" t="s">
        <v>57</v>
      </c>
      <c r="Q55" s="14" t="s">
        <v>58</v>
      </c>
      <c r="R55" s="13" t="s">
        <v>33</v>
      </c>
      <c r="S55" s="13" t="s">
        <v>34</v>
      </c>
      <c r="T55" s="15">
        <v>0</v>
      </c>
      <c r="U55" s="13" t="s">
        <v>48</v>
      </c>
      <c r="V55" s="15" t="s">
        <v>195</v>
      </c>
      <c r="W55" s="13" t="s">
        <v>48</v>
      </c>
      <c r="X55" s="15" t="s">
        <v>36</v>
      </c>
      <c r="Y55" s="13" t="s">
        <v>59</v>
      </c>
    </row>
    <row x14ac:dyDescent="0.25" r="56" customHeight="1" ht="18.75">
      <c r="A56" s="5">
        <v>74020634</v>
      </c>
      <c r="B56" s="6">
        <v>229</v>
      </c>
      <c r="C56" s="7" t="s">
        <v>349</v>
      </c>
      <c r="D56" s="7" t="s">
        <v>350</v>
      </c>
      <c r="E56" s="8">
        <v>74020634</v>
      </c>
      <c r="F56" s="8">
        <v>229</v>
      </c>
      <c r="G56" s="7" t="s">
        <v>27</v>
      </c>
      <c r="H56" s="7" t="s">
        <v>351</v>
      </c>
      <c r="I56" s="7" t="s">
        <v>352</v>
      </c>
      <c r="J56" s="8">
        <f>79210106031</f>
      </c>
      <c r="K56" s="9"/>
      <c r="L56" s="7" t="s">
        <v>54</v>
      </c>
      <c r="M56" s="8">
        <v>188</v>
      </c>
      <c r="N56" s="7" t="s">
        <v>55</v>
      </c>
      <c r="O56" s="7" t="s">
        <v>56</v>
      </c>
      <c r="P56" s="7" t="s">
        <v>353</v>
      </c>
      <c r="Q56" s="8" t="s">
        <v>112</v>
      </c>
      <c r="R56" s="7" t="s">
        <v>33</v>
      </c>
      <c r="S56" s="7" t="s">
        <v>34</v>
      </c>
      <c r="T56" s="10">
        <v>0</v>
      </c>
      <c r="U56" s="7"/>
      <c r="V56" s="10">
        <v>0</v>
      </c>
      <c r="W56" s="7" t="s">
        <v>48</v>
      </c>
      <c r="X56" s="10" t="s">
        <v>36</v>
      </c>
      <c r="Y56" s="7" t="s">
        <v>59</v>
      </c>
    </row>
    <row x14ac:dyDescent="0.25" r="57" customHeight="1" ht="18.75">
      <c r="A57" s="11">
        <v>74020651</v>
      </c>
      <c r="B57" s="12">
        <v>230</v>
      </c>
      <c r="C57" s="13" t="s">
        <v>354</v>
      </c>
      <c r="D57" s="13" t="s">
        <v>355</v>
      </c>
      <c r="E57" s="14">
        <v>74020651</v>
      </c>
      <c r="F57" s="14">
        <v>230</v>
      </c>
      <c r="G57" s="13" t="s">
        <v>27</v>
      </c>
      <c r="H57" s="13" t="s">
        <v>356</v>
      </c>
      <c r="I57" s="13" t="s">
        <v>357</v>
      </c>
      <c r="J57" s="14">
        <f>79306948817</f>
      </c>
      <c r="K57" s="9"/>
      <c r="L57" s="13" t="s">
        <v>54</v>
      </c>
      <c r="M57" s="14">
        <v>188</v>
      </c>
      <c r="N57" s="13" t="s">
        <v>55</v>
      </c>
      <c r="O57" s="13" t="s">
        <v>44</v>
      </c>
      <c r="P57" s="13" t="s">
        <v>89</v>
      </c>
      <c r="Q57" s="14" t="s">
        <v>58</v>
      </c>
      <c r="R57" s="13" t="s">
        <v>33</v>
      </c>
      <c r="S57" s="13" t="s">
        <v>34</v>
      </c>
      <c r="T57" s="15">
        <v>0</v>
      </c>
      <c r="U57" s="13" t="s">
        <v>48</v>
      </c>
      <c r="V57" s="15" t="s">
        <v>125</v>
      </c>
      <c r="W57" s="13" t="s">
        <v>48</v>
      </c>
      <c r="X57" s="15" t="s">
        <v>36</v>
      </c>
      <c r="Y57" s="13" t="s">
        <v>59</v>
      </c>
    </row>
    <row x14ac:dyDescent="0.25" r="58" customHeight="1" ht="18.75">
      <c r="A58" s="5">
        <v>74020642</v>
      </c>
      <c r="B58" s="6">
        <v>231</v>
      </c>
      <c r="C58" s="7" t="s">
        <v>358</v>
      </c>
      <c r="D58" s="7" t="s">
        <v>359</v>
      </c>
      <c r="E58" s="8">
        <v>74020642</v>
      </c>
      <c r="F58" s="8">
        <v>231</v>
      </c>
      <c r="G58" s="7" t="s">
        <v>27</v>
      </c>
      <c r="H58" s="7" t="s">
        <v>360</v>
      </c>
      <c r="I58" s="7" t="s">
        <v>361</v>
      </c>
      <c r="J58" s="8">
        <f>73412655367</f>
      </c>
      <c r="K58" s="9"/>
      <c r="L58" s="7" t="s">
        <v>42</v>
      </c>
      <c r="M58" s="8">
        <v>89</v>
      </c>
      <c r="N58" s="7" t="s">
        <v>43</v>
      </c>
      <c r="O58" s="7" t="s">
        <v>44</v>
      </c>
      <c r="P58" s="7" t="s">
        <v>45</v>
      </c>
      <c r="Q58" s="8" t="s">
        <v>362</v>
      </c>
      <c r="R58" s="7" t="s">
        <v>33</v>
      </c>
      <c r="S58" s="7" t="s">
        <v>34</v>
      </c>
      <c r="T58" s="10">
        <v>0</v>
      </c>
      <c r="U58" s="7" t="s">
        <v>48</v>
      </c>
      <c r="V58" s="10" t="s">
        <v>125</v>
      </c>
      <c r="W58" s="7" t="s">
        <v>48</v>
      </c>
      <c r="X58" s="10" t="s">
        <v>36</v>
      </c>
      <c r="Y58" s="7" t="s">
        <v>37</v>
      </c>
    </row>
    <row x14ac:dyDescent="0.25" r="59" customHeight="1" ht="18.75">
      <c r="A59" s="11">
        <v>74020657</v>
      </c>
      <c r="B59" s="12">
        <v>238</v>
      </c>
      <c r="C59" s="13" t="s">
        <v>363</v>
      </c>
      <c r="D59" s="13" t="s">
        <v>364</v>
      </c>
      <c r="E59" s="14">
        <v>74020657</v>
      </c>
      <c r="F59" s="14">
        <v>238</v>
      </c>
      <c r="G59" s="13" t="s">
        <v>27</v>
      </c>
      <c r="H59" s="13" t="s">
        <v>365</v>
      </c>
      <c r="I59" s="13" t="s">
        <v>366</v>
      </c>
      <c r="J59" s="14">
        <f>79636301928</f>
      </c>
      <c r="K59" s="9"/>
      <c r="L59" s="13" t="s">
        <v>30</v>
      </c>
      <c r="M59" s="14">
        <v>56</v>
      </c>
      <c r="N59" s="13" t="s">
        <v>31</v>
      </c>
      <c r="O59" s="13" t="s">
        <v>82</v>
      </c>
      <c r="P59" s="13" t="s">
        <v>367</v>
      </c>
      <c r="Q59" s="14" t="s">
        <v>368</v>
      </c>
      <c r="R59" s="13" t="s">
        <v>33</v>
      </c>
      <c r="S59" s="13" t="s">
        <v>34</v>
      </c>
      <c r="T59" s="15">
        <v>0</v>
      </c>
      <c r="U59" s="13" t="s">
        <v>48</v>
      </c>
      <c r="V59" s="15" t="s">
        <v>64</v>
      </c>
      <c r="W59" s="13" t="s">
        <v>48</v>
      </c>
      <c r="X59" s="15" t="s">
        <v>36</v>
      </c>
      <c r="Y59" s="13" t="s">
        <v>59</v>
      </c>
    </row>
    <row x14ac:dyDescent="0.25" r="60" customHeight="1" ht="18.75">
      <c r="A60" s="5">
        <v>74020675</v>
      </c>
      <c r="B60" s="6">
        <v>239</v>
      </c>
      <c r="C60" s="7" t="s">
        <v>369</v>
      </c>
      <c r="D60" s="7" t="s">
        <v>370</v>
      </c>
      <c r="E60" s="8">
        <v>74020675</v>
      </c>
      <c r="F60" s="8">
        <v>239</v>
      </c>
      <c r="G60" s="7" t="s">
        <v>27</v>
      </c>
      <c r="H60" s="7" t="s">
        <v>371</v>
      </c>
      <c r="I60" s="7" t="s">
        <v>372</v>
      </c>
      <c r="J60" s="8">
        <f>74994033873</f>
      </c>
      <c r="K60" s="9"/>
      <c r="L60" s="7" t="s">
        <v>131</v>
      </c>
      <c r="M60" s="8">
        <v>67</v>
      </c>
      <c r="N60" s="7" t="s">
        <v>373</v>
      </c>
      <c r="O60" s="7" t="s">
        <v>32</v>
      </c>
      <c r="P60" s="7" t="s">
        <v>32</v>
      </c>
      <c r="Q60" s="8" t="s">
        <v>251</v>
      </c>
      <c r="R60" s="7" t="s">
        <v>33</v>
      </c>
      <c r="S60" s="7" t="s">
        <v>34</v>
      </c>
      <c r="T60" s="10">
        <v>0</v>
      </c>
      <c r="U60" s="7" t="s">
        <v>48</v>
      </c>
      <c r="V60" s="10" t="s">
        <v>64</v>
      </c>
      <c r="W60" s="7" t="s">
        <v>48</v>
      </c>
      <c r="X60" s="10" t="s">
        <v>36</v>
      </c>
      <c r="Y60" s="7" t="s">
        <v>59</v>
      </c>
    </row>
    <row x14ac:dyDescent="0.25" r="61" customHeight="1" ht="18.75">
      <c r="A61" s="11">
        <v>74020676</v>
      </c>
      <c r="B61" s="12">
        <v>240</v>
      </c>
      <c r="C61" s="13" t="s">
        <v>374</v>
      </c>
      <c r="D61" s="13" t="s">
        <v>375</v>
      </c>
      <c r="E61" s="14">
        <v>74020676</v>
      </c>
      <c r="F61" s="14">
        <v>240</v>
      </c>
      <c r="G61" s="13" t="s">
        <v>27</v>
      </c>
      <c r="H61" s="13" t="s">
        <v>376</v>
      </c>
      <c r="I61" s="13" t="s">
        <v>377</v>
      </c>
      <c r="J61" s="14">
        <f>74951980947</f>
      </c>
      <c r="K61" s="9"/>
      <c r="L61" s="13" t="s">
        <v>80</v>
      </c>
      <c r="M61" s="14">
        <v>100140</v>
      </c>
      <c r="N61" s="13" t="s">
        <v>378</v>
      </c>
      <c r="O61" s="13" t="s">
        <v>32</v>
      </c>
      <c r="P61" s="13" t="s">
        <v>32</v>
      </c>
      <c r="Q61" s="14" t="s">
        <v>58</v>
      </c>
      <c r="R61" s="13" t="s">
        <v>33</v>
      </c>
      <c r="S61" s="13" t="s">
        <v>34</v>
      </c>
      <c r="T61" s="15">
        <v>0</v>
      </c>
      <c r="U61" s="13" t="s">
        <v>48</v>
      </c>
      <c r="V61" s="15" t="s">
        <v>49</v>
      </c>
      <c r="W61" s="13" t="s">
        <v>35</v>
      </c>
      <c r="X61" s="15" t="s">
        <v>65</v>
      </c>
      <c r="Y61" s="13" t="s">
        <v>59</v>
      </c>
    </row>
    <row x14ac:dyDescent="0.25" r="62" customHeight="1" ht="18.75">
      <c r="A62" s="5">
        <v>74020677</v>
      </c>
      <c r="B62" s="6">
        <v>241</v>
      </c>
      <c r="C62" s="7" t="s">
        <v>379</v>
      </c>
      <c r="D62" s="7" t="s">
        <v>380</v>
      </c>
      <c r="E62" s="8">
        <v>74020677</v>
      </c>
      <c r="F62" s="8">
        <v>241</v>
      </c>
      <c r="G62" s="7" t="s">
        <v>27</v>
      </c>
      <c r="H62" s="7" t="s">
        <v>381</v>
      </c>
      <c r="I62" s="7" t="s">
        <v>382</v>
      </c>
      <c r="J62" s="8">
        <f>74951980984</f>
      </c>
      <c r="K62" s="9"/>
      <c r="L62" s="7" t="s">
        <v>80</v>
      </c>
      <c r="M62" s="8">
        <v>236</v>
      </c>
      <c r="N62" s="7" t="s">
        <v>383</v>
      </c>
      <c r="O62" s="7" t="s">
        <v>82</v>
      </c>
      <c r="P62" s="7" t="s">
        <v>268</v>
      </c>
      <c r="Q62" s="8" t="s">
        <v>58</v>
      </c>
      <c r="R62" s="7" t="s">
        <v>33</v>
      </c>
      <c r="S62" s="7" t="s">
        <v>34</v>
      </c>
      <c r="T62" s="10">
        <v>0</v>
      </c>
      <c r="U62" s="7" t="s">
        <v>48</v>
      </c>
      <c r="V62" s="10" t="s">
        <v>49</v>
      </c>
      <c r="W62" s="7" t="s">
        <v>35</v>
      </c>
      <c r="X62" s="10" t="s">
        <v>65</v>
      </c>
      <c r="Y62" s="7" t="s">
        <v>59</v>
      </c>
    </row>
    <row x14ac:dyDescent="0.25" r="63" customHeight="1" ht="18.75">
      <c r="A63" s="11">
        <v>74020678</v>
      </c>
      <c r="B63" s="12">
        <v>242</v>
      </c>
      <c r="C63" s="13" t="s">
        <v>384</v>
      </c>
      <c r="D63" s="13" t="s">
        <v>385</v>
      </c>
      <c r="E63" s="14">
        <v>74020678</v>
      </c>
      <c r="F63" s="14">
        <v>242</v>
      </c>
      <c r="G63" s="13" t="s">
        <v>27</v>
      </c>
      <c r="H63" s="13" t="s">
        <v>386</v>
      </c>
      <c r="I63" s="13" t="s">
        <v>387</v>
      </c>
      <c r="J63" s="14">
        <f>74959116962</f>
      </c>
      <c r="K63" s="9"/>
      <c r="L63" s="13" t="s">
        <v>388</v>
      </c>
      <c r="M63" s="14">
        <v>245</v>
      </c>
      <c r="N63" s="13" t="s">
        <v>389</v>
      </c>
      <c r="O63" s="13" t="s">
        <v>32</v>
      </c>
      <c r="P63" s="13" t="s">
        <v>32</v>
      </c>
      <c r="Q63" s="14" t="s">
        <v>390</v>
      </c>
      <c r="R63" s="13" t="s">
        <v>33</v>
      </c>
      <c r="S63" s="13" t="s">
        <v>34</v>
      </c>
      <c r="T63" s="15">
        <v>0</v>
      </c>
      <c r="U63" s="13" t="s">
        <v>48</v>
      </c>
      <c r="V63" s="15" t="s">
        <v>214</v>
      </c>
      <c r="W63" s="13" t="s">
        <v>48</v>
      </c>
      <c r="X63" s="15" t="s">
        <v>36</v>
      </c>
      <c r="Y63" s="13" t="s">
        <v>37</v>
      </c>
    </row>
    <row x14ac:dyDescent="0.25" r="64" customHeight="1" ht="18.75">
      <c r="A64" s="5">
        <v>74020660</v>
      </c>
      <c r="B64" s="6">
        <v>244</v>
      </c>
      <c r="C64" s="7" t="s">
        <v>391</v>
      </c>
      <c r="D64" s="7" t="s">
        <v>392</v>
      </c>
      <c r="E64" s="8">
        <v>74020660</v>
      </c>
      <c r="F64" s="8">
        <v>244</v>
      </c>
      <c r="G64" s="7" t="s">
        <v>27</v>
      </c>
      <c r="H64" s="7" t="s">
        <v>393</v>
      </c>
      <c r="I64" s="7" t="s">
        <v>394</v>
      </c>
      <c r="J64" s="8">
        <f>74959666471</f>
      </c>
      <c r="K64" s="9"/>
      <c r="L64" s="7" t="s">
        <v>266</v>
      </c>
      <c r="M64" s="8">
        <v>227</v>
      </c>
      <c r="N64" s="7" t="s">
        <v>395</v>
      </c>
      <c r="O64" s="7" t="s">
        <v>32</v>
      </c>
      <c r="P64" s="7" t="s">
        <v>32</v>
      </c>
      <c r="Q64" s="8" t="s">
        <v>396</v>
      </c>
      <c r="R64" s="7" t="s">
        <v>33</v>
      </c>
      <c r="S64" s="7" t="s">
        <v>34</v>
      </c>
      <c r="T64" s="10">
        <v>0</v>
      </c>
      <c r="U64" s="7" t="s">
        <v>48</v>
      </c>
      <c r="V64" s="10" t="s">
        <v>214</v>
      </c>
      <c r="W64" s="7" t="s">
        <v>48</v>
      </c>
      <c r="X64" s="10" t="s">
        <v>36</v>
      </c>
      <c r="Y64" s="7" t="s">
        <v>59</v>
      </c>
    </row>
    <row x14ac:dyDescent="0.25" r="65" customHeight="1" ht="18.75">
      <c r="A65" s="11">
        <v>74020655</v>
      </c>
      <c r="B65" s="12">
        <v>245</v>
      </c>
      <c r="C65" s="13" t="s">
        <v>397</v>
      </c>
      <c r="D65" s="13" t="s">
        <v>398</v>
      </c>
      <c r="E65" s="14">
        <v>74020655</v>
      </c>
      <c r="F65" s="14">
        <v>245</v>
      </c>
      <c r="G65" s="13" t="s">
        <v>27</v>
      </c>
      <c r="H65" s="13" t="s">
        <v>399</v>
      </c>
      <c r="I65" s="13" t="s">
        <v>400</v>
      </c>
      <c r="J65" s="14">
        <f>74957252686</f>
      </c>
      <c r="K65" s="9"/>
      <c r="L65" s="13" t="s">
        <v>30</v>
      </c>
      <c r="M65" s="14">
        <v>56</v>
      </c>
      <c r="N65" s="13" t="s">
        <v>31</v>
      </c>
      <c r="O65" s="13" t="s">
        <v>32</v>
      </c>
      <c r="P65" s="13" t="s">
        <v>32</v>
      </c>
      <c r="Q65" s="14" t="s">
        <v>58</v>
      </c>
      <c r="R65" s="13" t="s">
        <v>33</v>
      </c>
      <c r="S65" s="13" t="s">
        <v>34</v>
      </c>
      <c r="T65" s="15">
        <v>0</v>
      </c>
      <c r="U65" s="13" t="s">
        <v>48</v>
      </c>
      <c r="V65" s="15" t="s">
        <v>64</v>
      </c>
      <c r="W65" s="13" t="s">
        <v>48</v>
      </c>
      <c r="X65" s="15" t="s">
        <v>36</v>
      </c>
      <c r="Y65" s="13" t="s">
        <v>37</v>
      </c>
    </row>
    <row x14ac:dyDescent="0.25" r="66" customHeight="1" ht="18.75">
      <c r="A66" s="5">
        <v>74020652</v>
      </c>
      <c r="B66" s="6">
        <v>249</v>
      </c>
      <c r="C66" s="7" t="s">
        <v>401</v>
      </c>
      <c r="D66" s="7" t="s">
        <v>402</v>
      </c>
      <c r="E66" s="8">
        <v>74020652</v>
      </c>
      <c r="F66" s="8">
        <v>249</v>
      </c>
      <c r="G66" s="7" t="s">
        <v>27</v>
      </c>
      <c r="H66" s="7" t="s">
        <v>403</v>
      </c>
      <c r="I66" s="7" t="s">
        <v>404</v>
      </c>
      <c r="J66" s="8">
        <f>73512208044</f>
      </c>
      <c r="K66" s="8">
        <v>1013</v>
      </c>
      <c r="L66" s="7" t="s">
        <v>94</v>
      </c>
      <c r="M66" s="8">
        <v>181</v>
      </c>
      <c r="N66" s="7" t="s">
        <v>405</v>
      </c>
      <c r="O66" s="7" t="s">
        <v>96</v>
      </c>
      <c r="P66" s="7" t="s">
        <v>181</v>
      </c>
      <c r="Q66" s="8" t="s">
        <v>182</v>
      </c>
      <c r="R66" s="7" t="s">
        <v>33</v>
      </c>
      <c r="S66" s="7" t="s">
        <v>34</v>
      </c>
      <c r="T66" s="10">
        <v>0</v>
      </c>
      <c r="U66" s="7" t="s">
        <v>48</v>
      </c>
      <c r="V66" s="10" t="s">
        <v>214</v>
      </c>
      <c r="W66" s="7" t="s">
        <v>48</v>
      </c>
      <c r="X66" s="10" t="s">
        <v>65</v>
      </c>
      <c r="Y66" s="7" t="s">
        <v>37</v>
      </c>
    </row>
    <row x14ac:dyDescent="0.25" r="67" customHeight="1" ht="18.75">
      <c r="A67" s="11">
        <v>74020653</v>
      </c>
      <c r="B67" s="12">
        <v>250</v>
      </c>
      <c r="C67" s="13" t="s">
        <v>406</v>
      </c>
      <c r="D67" s="13" t="s">
        <v>407</v>
      </c>
      <c r="E67" s="14">
        <v>74020653</v>
      </c>
      <c r="F67" s="14">
        <v>250</v>
      </c>
      <c r="G67" s="13" t="s">
        <v>27</v>
      </c>
      <c r="H67" s="13" t="s">
        <v>408</v>
      </c>
      <c r="I67" s="13" t="s">
        <v>409</v>
      </c>
      <c r="J67" s="14">
        <f>73512208044</f>
      </c>
      <c r="K67" s="14">
        <v>1014</v>
      </c>
      <c r="L67" s="13" t="s">
        <v>94</v>
      </c>
      <c r="M67" s="14">
        <v>261</v>
      </c>
      <c r="N67" s="13" t="s">
        <v>410</v>
      </c>
      <c r="O67" s="13" t="s">
        <v>96</v>
      </c>
      <c r="P67" s="13" t="s">
        <v>181</v>
      </c>
      <c r="Q67" s="14" t="s">
        <v>182</v>
      </c>
      <c r="R67" s="13" t="s">
        <v>33</v>
      </c>
      <c r="S67" s="13" t="s">
        <v>34</v>
      </c>
      <c r="T67" s="15">
        <v>0</v>
      </c>
      <c r="U67" s="13" t="s">
        <v>48</v>
      </c>
      <c r="V67" s="15" t="s">
        <v>64</v>
      </c>
      <c r="W67" s="13" t="s">
        <v>48</v>
      </c>
      <c r="X67" s="15" t="s">
        <v>65</v>
      </c>
      <c r="Y67" s="13" t="s">
        <v>59</v>
      </c>
    </row>
    <row x14ac:dyDescent="0.25" r="68" customHeight="1" ht="18.75">
      <c r="A68" s="5">
        <v>74020658</v>
      </c>
      <c r="B68" s="6">
        <v>252</v>
      </c>
      <c r="C68" s="7" t="s">
        <v>411</v>
      </c>
      <c r="D68" s="7" t="s">
        <v>412</v>
      </c>
      <c r="E68" s="8">
        <v>74020658</v>
      </c>
      <c r="F68" s="8">
        <v>252</v>
      </c>
      <c r="G68" s="7" t="s">
        <v>27</v>
      </c>
      <c r="H68" s="7" t="s">
        <v>413</v>
      </c>
      <c r="I68" s="7" t="s">
        <v>414</v>
      </c>
      <c r="J68" s="8">
        <f>73842490559</f>
      </c>
      <c r="K68" s="9"/>
      <c r="L68" s="7" t="s">
        <v>415</v>
      </c>
      <c r="M68" s="8">
        <v>157</v>
      </c>
      <c r="N68" s="7" t="s">
        <v>416</v>
      </c>
      <c r="O68" s="7" t="s">
        <v>73</v>
      </c>
      <c r="P68" s="7" t="s">
        <v>417</v>
      </c>
      <c r="Q68" s="8" t="s">
        <v>418</v>
      </c>
      <c r="R68" s="7" t="s">
        <v>33</v>
      </c>
      <c r="S68" s="7" t="s">
        <v>34</v>
      </c>
      <c r="T68" s="10">
        <v>0</v>
      </c>
      <c r="U68" s="7" t="s">
        <v>48</v>
      </c>
      <c r="V68" s="10" t="s">
        <v>214</v>
      </c>
      <c r="W68" s="7" t="s">
        <v>48</v>
      </c>
      <c r="X68" s="10" t="s">
        <v>36</v>
      </c>
      <c r="Y68" s="7" t="s">
        <v>84</v>
      </c>
    </row>
    <row x14ac:dyDescent="0.25" r="69" customHeight="1" ht="18.75">
      <c r="A69" s="11">
        <v>74020654</v>
      </c>
      <c r="B69" s="12">
        <v>253</v>
      </c>
      <c r="C69" s="13" t="s">
        <v>419</v>
      </c>
      <c r="D69" s="13" t="s">
        <v>420</v>
      </c>
      <c r="E69" s="14">
        <v>74020654</v>
      </c>
      <c r="F69" s="14">
        <v>253</v>
      </c>
      <c r="G69" s="13" t="s">
        <v>27</v>
      </c>
      <c r="H69" s="13" t="s">
        <v>421</v>
      </c>
      <c r="I69" s="13" t="s">
        <v>422</v>
      </c>
      <c r="J69" s="14">
        <f>73852296896</f>
      </c>
      <c r="K69" s="9"/>
      <c r="L69" s="13" t="s">
        <v>71</v>
      </c>
      <c r="M69" s="14">
        <v>92</v>
      </c>
      <c r="N69" s="13" t="s">
        <v>423</v>
      </c>
      <c r="O69" s="13" t="s">
        <v>73</v>
      </c>
      <c r="P69" s="13" t="s">
        <v>74</v>
      </c>
      <c r="Q69" s="14" t="s">
        <v>424</v>
      </c>
      <c r="R69" s="13" t="s">
        <v>33</v>
      </c>
      <c r="S69" s="13" t="s">
        <v>34</v>
      </c>
      <c r="T69" s="15">
        <v>0</v>
      </c>
      <c r="U69" s="13" t="s">
        <v>48</v>
      </c>
      <c r="V69" s="15" t="s">
        <v>214</v>
      </c>
      <c r="W69" s="13" t="s">
        <v>48</v>
      </c>
      <c r="X69" s="15" t="s">
        <v>36</v>
      </c>
      <c r="Y69" s="13" t="s">
        <v>59</v>
      </c>
    </row>
    <row x14ac:dyDescent="0.25" r="70" customHeight="1" ht="18.75">
      <c r="A70" s="5">
        <v>74020661</v>
      </c>
      <c r="B70" s="6">
        <v>256</v>
      </c>
      <c r="C70" s="7" t="s">
        <v>425</v>
      </c>
      <c r="D70" s="7" t="s">
        <v>426</v>
      </c>
      <c r="E70" s="8">
        <v>74020661</v>
      </c>
      <c r="F70" s="8">
        <v>256</v>
      </c>
      <c r="G70" s="7" t="s">
        <v>27</v>
      </c>
      <c r="H70" s="7" t="s">
        <v>427</v>
      </c>
      <c r="I70" s="7" t="s">
        <v>428</v>
      </c>
      <c r="J70" s="8">
        <f>79274576510</f>
      </c>
      <c r="K70" s="9"/>
      <c r="L70" s="7" t="s">
        <v>54</v>
      </c>
      <c r="M70" s="8">
        <v>188</v>
      </c>
      <c r="N70" s="7" t="s">
        <v>55</v>
      </c>
      <c r="O70" s="7" t="s">
        <v>44</v>
      </c>
      <c r="P70" s="7" t="s">
        <v>429</v>
      </c>
      <c r="Q70" s="8" t="s">
        <v>182</v>
      </c>
      <c r="R70" s="7" t="s">
        <v>33</v>
      </c>
      <c r="S70" s="7" t="s">
        <v>34</v>
      </c>
      <c r="T70" s="10">
        <v>0</v>
      </c>
      <c r="U70" s="7"/>
      <c r="V70" s="10">
        <v>0</v>
      </c>
      <c r="W70" s="7" t="s">
        <v>48</v>
      </c>
      <c r="X70" s="10" t="s">
        <v>65</v>
      </c>
      <c r="Y70" s="7" t="s">
        <v>37</v>
      </c>
    </row>
    <row x14ac:dyDescent="0.25" r="71" customHeight="1" ht="18.75">
      <c r="A71" s="11">
        <v>74020662</v>
      </c>
      <c r="B71" s="12">
        <v>257</v>
      </c>
      <c r="C71" s="13" t="s">
        <v>430</v>
      </c>
      <c r="D71" s="13" t="s">
        <v>431</v>
      </c>
      <c r="E71" s="14">
        <v>74020662</v>
      </c>
      <c r="F71" s="14">
        <v>257</v>
      </c>
      <c r="G71" s="13" t="s">
        <v>27</v>
      </c>
      <c r="H71" s="13" t="s">
        <v>432</v>
      </c>
      <c r="I71" s="13" t="s">
        <v>433</v>
      </c>
      <c r="J71" s="14">
        <f>79210106043</f>
      </c>
      <c r="K71" s="9"/>
      <c r="L71" s="13" t="s">
        <v>54</v>
      </c>
      <c r="M71" s="14">
        <v>188</v>
      </c>
      <c r="N71" s="13" t="s">
        <v>55</v>
      </c>
      <c r="O71" s="13" t="s">
        <v>56</v>
      </c>
      <c r="P71" s="13" t="s">
        <v>353</v>
      </c>
      <c r="Q71" s="14" t="s">
        <v>112</v>
      </c>
      <c r="R71" s="13" t="s">
        <v>33</v>
      </c>
      <c r="S71" s="13" t="s">
        <v>34</v>
      </c>
      <c r="T71" s="15">
        <v>0</v>
      </c>
      <c r="U71" s="13" t="s">
        <v>48</v>
      </c>
      <c r="V71" s="15" t="s">
        <v>125</v>
      </c>
      <c r="W71" s="13" t="s">
        <v>35</v>
      </c>
      <c r="X71" s="15" t="s">
        <v>65</v>
      </c>
      <c r="Y71" s="13" t="s">
        <v>84</v>
      </c>
    </row>
    <row x14ac:dyDescent="0.25" r="72" customHeight="1" ht="18.75">
      <c r="A72" s="5">
        <v>74020663</v>
      </c>
      <c r="B72" s="6">
        <v>258</v>
      </c>
      <c r="C72" s="7" t="s">
        <v>434</v>
      </c>
      <c r="D72" s="7" t="s">
        <v>435</v>
      </c>
      <c r="E72" s="8">
        <v>74020663</v>
      </c>
      <c r="F72" s="8">
        <v>258</v>
      </c>
      <c r="G72" s="7" t="s">
        <v>27</v>
      </c>
      <c r="H72" s="7" t="s">
        <v>436</v>
      </c>
      <c r="I72" s="7" t="s">
        <v>437</v>
      </c>
      <c r="J72" s="8">
        <f>79218975482</f>
      </c>
      <c r="K72" s="9"/>
      <c r="L72" s="7" t="s">
        <v>54</v>
      </c>
      <c r="M72" s="8">
        <v>188</v>
      </c>
      <c r="N72" s="7" t="s">
        <v>55</v>
      </c>
      <c r="O72" s="7" t="s">
        <v>56</v>
      </c>
      <c r="P72" s="7" t="s">
        <v>57</v>
      </c>
      <c r="Q72" s="8" t="s">
        <v>58</v>
      </c>
      <c r="R72" s="7" t="s">
        <v>33</v>
      </c>
      <c r="S72" s="7" t="s">
        <v>34</v>
      </c>
      <c r="T72" s="10">
        <v>0</v>
      </c>
      <c r="U72" s="7" t="s">
        <v>48</v>
      </c>
      <c r="V72" s="10" t="s">
        <v>125</v>
      </c>
      <c r="W72" s="7" t="s">
        <v>48</v>
      </c>
      <c r="X72" s="10" t="s">
        <v>36</v>
      </c>
      <c r="Y72" s="7" t="s">
        <v>37</v>
      </c>
    </row>
    <row x14ac:dyDescent="0.25" r="73" customHeight="1" ht="18.75">
      <c r="A73" s="11">
        <v>74020664</v>
      </c>
      <c r="B73" s="12">
        <v>259</v>
      </c>
      <c r="C73" s="13" t="s">
        <v>438</v>
      </c>
      <c r="D73" s="13" t="s">
        <v>439</v>
      </c>
      <c r="E73" s="14">
        <v>74020664</v>
      </c>
      <c r="F73" s="14">
        <v>259</v>
      </c>
      <c r="G73" s="13" t="s">
        <v>27</v>
      </c>
      <c r="H73" s="13" t="s">
        <v>440</v>
      </c>
      <c r="I73" s="13" t="s">
        <v>441</v>
      </c>
      <c r="J73" s="14">
        <f>79210241940</f>
      </c>
      <c r="K73" s="9"/>
      <c r="L73" s="13" t="s">
        <v>54</v>
      </c>
      <c r="M73" s="14">
        <v>188</v>
      </c>
      <c r="N73" s="13" t="s">
        <v>55</v>
      </c>
      <c r="O73" s="13" t="s">
        <v>56</v>
      </c>
      <c r="P73" s="13" t="s">
        <v>301</v>
      </c>
      <c r="Q73" s="14" t="s">
        <v>182</v>
      </c>
      <c r="R73" s="13" t="s">
        <v>33</v>
      </c>
      <c r="S73" s="13" t="s">
        <v>34</v>
      </c>
      <c r="T73" s="15">
        <v>0</v>
      </c>
      <c r="U73" s="13"/>
      <c r="V73" s="15">
        <v>0</v>
      </c>
      <c r="W73" s="13" t="s">
        <v>35</v>
      </c>
      <c r="X73" s="15" t="s">
        <v>65</v>
      </c>
      <c r="Y73" s="13" t="s">
        <v>126</v>
      </c>
    </row>
    <row x14ac:dyDescent="0.25" r="74" customHeight="1" ht="18.75">
      <c r="A74" s="5">
        <v>74020665</v>
      </c>
      <c r="B74" s="6">
        <v>260</v>
      </c>
      <c r="C74" s="7" t="s">
        <v>442</v>
      </c>
      <c r="D74" s="7" t="s">
        <v>443</v>
      </c>
      <c r="E74" s="8">
        <v>74020665</v>
      </c>
      <c r="F74" s="8">
        <v>260</v>
      </c>
      <c r="G74" s="7" t="s">
        <v>27</v>
      </c>
      <c r="H74" s="7" t="s">
        <v>444</v>
      </c>
      <c r="I74" s="7" t="s">
        <v>445</v>
      </c>
      <c r="J74" s="8">
        <f>79218975811</f>
      </c>
      <c r="K74" s="9"/>
      <c r="L74" s="7" t="s">
        <v>54</v>
      </c>
      <c r="M74" s="8">
        <v>188</v>
      </c>
      <c r="N74" s="7" t="s">
        <v>55</v>
      </c>
      <c r="O74" s="7" t="s">
        <v>56</v>
      </c>
      <c r="P74" s="7" t="s">
        <v>57</v>
      </c>
      <c r="Q74" s="8" t="s">
        <v>58</v>
      </c>
      <c r="R74" s="7" t="s">
        <v>33</v>
      </c>
      <c r="S74" s="7" t="s">
        <v>34</v>
      </c>
      <c r="T74" s="10">
        <v>0</v>
      </c>
      <c r="U74" s="7" t="s">
        <v>48</v>
      </c>
      <c r="V74" s="10" t="s">
        <v>125</v>
      </c>
      <c r="W74" s="7" t="s">
        <v>48</v>
      </c>
      <c r="X74" s="10" t="s">
        <v>36</v>
      </c>
      <c r="Y74" s="7" t="s">
        <v>126</v>
      </c>
    </row>
    <row x14ac:dyDescent="0.25" r="75" customHeight="1" ht="18.75">
      <c r="A75" s="11">
        <v>74020666</v>
      </c>
      <c r="B75" s="12">
        <v>261</v>
      </c>
      <c r="C75" s="13" t="s">
        <v>446</v>
      </c>
      <c r="D75" s="13" t="s">
        <v>447</v>
      </c>
      <c r="E75" s="14">
        <v>74020666</v>
      </c>
      <c r="F75" s="14">
        <v>261</v>
      </c>
      <c r="G75" s="13" t="s">
        <v>27</v>
      </c>
      <c r="H75" s="13" t="s">
        <v>448</v>
      </c>
      <c r="I75" s="13" t="s">
        <v>449</v>
      </c>
      <c r="J75" s="14">
        <f>79310055276</f>
      </c>
      <c r="K75" s="9"/>
      <c r="L75" s="13" t="s">
        <v>54</v>
      </c>
      <c r="M75" s="14">
        <v>188</v>
      </c>
      <c r="N75" s="13" t="s">
        <v>55</v>
      </c>
      <c r="O75" s="13" t="s">
        <v>56</v>
      </c>
      <c r="P75" s="13" t="s">
        <v>57</v>
      </c>
      <c r="Q75" s="14" t="s">
        <v>58</v>
      </c>
      <c r="R75" s="13" t="s">
        <v>33</v>
      </c>
      <c r="S75" s="13" t="s">
        <v>34</v>
      </c>
      <c r="T75" s="15">
        <v>0</v>
      </c>
      <c r="U75" s="13" t="s">
        <v>48</v>
      </c>
      <c r="V75" s="15" t="s">
        <v>125</v>
      </c>
      <c r="W75" s="13" t="s">
        <v>48</v>
      </c>
      <c r="X75" s="15" t="s">
        <v>36</v>
      </c>
      <c r="Y75" s="13" t="s">
        <v>126</v>
      </c>
    </row>
    <row x14ac:dyDescent="0.25" r="76" customHeight="1" ht="18.75">
      <c r="A76" s="5">
        <v>74020667</v>
      </c>
      <c r="B76" s="6">
        <v>262</v>
      </c>
      <c r="C76" s="7" t="s">
        <v>450</v>
      </c>
      <c r="D76" s="7" t="s">
        <v>451</v>
      </c>
      <c r="E76" s="8">
        <v>74020667</v>
      </c>
      <c r="F76" s="8">
        <v>262</v>
      </c>
      <c r="G76" s="7" t="s">
        <v>27</v>
      </c>
      <c r="H76" s="7" t="s">
        <v>452</v>
      </c>
      <c r="I76" s="7" t="s">
        <v>453</v>
      </c>
      <c r="J76" s="8">
        <f>79210106012</f>
      </c>
      <c r="K76" s="9"/>
      <c r="L76" s="7" t="s">
        <v>54</v>
      </c>
      <c r="M76" s="8">
        <v>188</v>
      </c>
      <c r="N76" s="7" t="s">
        <v>55</v>
      </c>
      <c r="O76" s="7" t="s">
        <v>56</v>
      </c>
      <c r="P76" s="7" t="s">
        <v>353</v>
      </c>
      <c r="Q76" s="8" t="s">
        <v>112</v>
      </c>
      <c r="R76" s="7" t="s">
        <v>33</v>
      </c>
      <c r="S76" s="7" t="s">
        <v>34</v>
      </c>
      <c r="T76" s="10">
        <v>0</v>
      </c>
      <c r="U76" s="7"/>
      <c r="V76" s="10">
        <v>0</v>
      </c>
      <c r="W76" s="7" t="s">
        <v>48</v>
      </c>
      <c r="X76" s="10" t="s">
        <v>36</v>
      </c>
      <c r="Y76" s="7" t="s">
        <v>84</v>
      </c>
    </row>
    <row x14ac:dyDescent="0.25" r="77" customHeight="1" ht="18.75">
      <c r="A77" s="11">
        <v>74020668</v>
      </c>
      <c r="B77" s="12">
        <v>263</v>
      </c>
      <c r="C77" s="13" t="s">
        <v>454</v>
      </c>
      <c r="D77" s="13" t="s">
        <v>455</v>
      </c>
      <c r="E77" s="14">
        <v>74020668</v>
      </c>
      <c r="F77" s="14">
        <v>263</v>
      </c>
      <c r="G77" s="13" t="s">
        <v>27</v>
      </c>
      <c r="H77" s="13" t="s">
        <v>456</v>
      </c>
      <c r="I77" s="13" t="s">
        <v>457</v>
      </c>
      <c r="J77" s="14">
        <f>79210014268</f>
      </c>
      <c r="K77" s="9"/>
      <c r="L77" s="13" t="s">
        <v>54</v>
      </c>
      <c r="M77" s="14">
        <v>188</v>
      </c>
      <c r="N77" s="13" t="s">
        <v>55</v>
      </c>
      <c r="O77" s="13" t="s">
        <v>56</v>
      </c>
      <c r="P77" s="13" t="s">
        <v>458</v>
      </c>
      <c r="Q77" s="14" t="s">
        <v>58</v>
      </c>
      <c r="R77" s="13" t="s">
        <v>33</v>
      </c>
      <c r="S77" s="13" t="s">
        <v>34</v>
      </c>
      <c r="T77" s="15">
        <v>0</v>
      </c>
      <c r="U77" s="13"/>
      <c r="V77" s="15">
        <v>0</v>
      </c>
      <c r="W77" s="13" t="s">
        <v>48</v>
      </c>
      <c r="X77" s="15" t="s">
        <v>65</v>
      </c>
      <c r="Y77" s="13" t="s">
        <v>126</v>
      </c>
    </row>
    <row x14ac:dyDescent="0.25" r="78" customHeight="1" ht="18.75">
      <c r="A78" s="5">
        <v>74020669</v>
      </c>
      <c r="B78" s="6">
        <v>264</v>
      </c>
      <c r="C78" s="7" t="s">
        <v>459</v>
      </c>
      <c r="D78" s="7" t="s">
        <v>460</v>
      </c>
      <c r="E78" s="8">
        <v>74020669</v>
      </c>
      <c r="F78" s="8">
        <v>264</v>
      </c>
      <c r="G78" s="7" t="s">
        <v>27</v>
      </c>
      <c r="H78" s="7" t="s">
        <v>461</v>
      </c>
      <c r="I78" s="7" t="s">
        <v>462</v>
      </c>
      <c r="J78" s="8">
        <f>79306948813</f>
      </c>
      <c r="K78" s="9"/>
      <c r="L78" s="7" t="s">
        <v>54</v>
      </c>
      <c r="M78" s="8">
        <v>188</v>
      </c>
      <c r="N78" s="7" t="s">
        <v>55</v>
      </c>
      <c r="O78" s="7" t="s">
        <v>44</v>
      </c>
      <c r="P78" s="7" t="s">
        <v>89</v>
      </c>
      <c r="Q78" s="8" t="s">
        <v>58</v>
      </c>
      <c r="R78" s="7" t="s">
        <v>33</v>
      </c>
      <c r="S78" s="7" t="s">
        <v>34</v>
      </c>
      <c r="T78" s="10">
        <v>0</v>
      </c>
      <c r="U78" s="7"/>
      <c r="V78" s="10">
        <v>0</v>
      </c>
      <c r="W78" s="7" t="s">
        <v>35</v>
      </c>
      <c r="X78" s="10" t="s">
        <v>36</v>
      </c>
      <c r="Y78" s="7" t="s">
        <v>59</v>
      </c>
    </row>
    <row x14ac:dyDescent="0.25" r="79" customHeight="1" ht="18.75">
      <c r="A79" s="11">
        <v>74020670</v>
      </c>
      <c r="B79" s="12">
        <v>265</v>
      </c>
      <c r="C79" s="13" t="s">
        <v>463</v>
      </c>
      <c r="D79" s="13" t="s">
        <v>464</v>
      </c>
      <c r="E79" s="14">
        <v>74020670</v>
      </c>
      <c r="F79" s="14">
        <v>265</v>
      </c>
      <c r="G79" s="13" t="s">
        <v>27</v>
      </c>
      <c r="H79" s="13" t="s">
        <v>465</v>
      </c>
      <c r="I79" s="13" t="s">
        <v>466</v>
      </c>
      <c r="J79" s="13" t="s">
        <v>467</v>
      </c>
      <c r="K79" s="9"/>
      <c r="L79" s="13" t="s">
        <v>54</v>
      </c>
      <c r="M79" s="14">
        <v>188</v>
      </c>
      <c r="N79" s="13" t="s">
        <v>55</v>
      </c>
      <c r="O79" s="13" t="s">
        <v>32</v>
      </c>
      <c r="P79" s="13" t="s">
        <v>32</v>
      </c>
      <c r="Q79" s="14" t="s">
        <v>58</v>
      </c>
      <c r="R79" s="13" t="s">
        <v>33</v>
      </c>
      <c r="S79" s="13" t="s">
        <v>34</v>
      </c>
      <c r="T79" s="15">
        <v>0</v>
      </c>
      <c r="U79" s="13" t="s">
        <v>48</v>
      </c>
      <c r="V79" s="15" t="s">
        <v>214</v>
      </c>
      <c r="W79" s="13" t="s">
        <v>48</v>
      </c>
      <c r="X79" s="15" t="s">
        <v>65</v>
      </c>
      <c r="Y79" s="13" t="s">
        <v>84</v>
      </c>
    </row>
    <row x14ac:dyDescent="0.25" r="80" customHeight="1" ht="18.75">
      <c r="A80" s="5">
        <v>74020671</v>
      </c>
      <c r="B80" s="6">
        <v>266</v>
      </c>
      <c r="C80" s="7" t="s">
        <v>468</v>
      </c>
      <c r="D80" s="7" t="s">
        <v>469</v>
      </c>
      <c r="E80" s="8">
        <v>74020671</v>
      </c>
      <c r="F80" s="8">
        <v>266</v>
      </c>
      <c r="G80" s="7" t="s">
        <v>27</v>
      </c>
      <c r="H80" s="7" t="s">
        <v>470</v>
      </c>
      <c r="I80" s="7" t="s">
        <v>471</v>
      </c>
      <c r="J80" s="8">
        <f>79034061048</f>
      </c>
      <c r="K80" s="9"/>
      <c r="L80" s="7" t="s">
        <v>117</v>
      </c>
      <c r="M80" s="8">
        <v>210</v>
      </c>
      <c r="N80" s="7" t="s">
        <v>118</v>
      </c>
      <c r="O80" s="7" t="s">
        <v>119</v>
      </c>
      <c r="P80" s="7" t="s">
        <v>120</v>
      </c>
      <c r="Q80" s="8" t="s">
        <v>58</v>
      </c>
      <c r="R80" s="7" t="s">
        <v>33</v>
      </c>
      <c r="S80" s="7" t="s">
        <v>34</v>
      </c>
      <c r="T80" s="10">
        <v>0</v>
      </c>
      <c r="U80" s="7" t="s">
        <v>48</v>
      </c>
      <c r="V80" s="10" t="s">
        <v>200</v>
      </c>
      <c r="W80" s="7" t="s">
        <v>35</v>
      </c>
      <c r="X80" s="10" t="s">
        <v>472</v>
      </c>
      <c r="Y80" s="7" t="s">
        <v>37</v>
      </c>
    </row>
    <row x14ac:dyDescent="0.25" r="81" customHeight="1" ht="18.75">
      <c r="A81" s="11">
        <v>74020672</v>
      </c>
      <c r="B81" s="12">
        <v>267</v>
      </c>
      <c r="C81" s="13" t="s">
        <v>473</v>
      </c>
      <c r="D81" s="13" t="s">
        <v>474</v>
      </c>
      <c r="E81" s="14">
        <v>74020672</v>
      </c>
      <c r="F81" s="14">
        <v>267</v>
      </c>
      <c r="G81" s="13" t="s">
        <v>27</v>
      </c>
      <c r="H81" s="13" t="s">
        <v>475</v>
      </c>
      <c r="I81" s="13" t="s">
        <v>476</v>
      </c>
      <c r="J81" s="14">
        <f>79054244080</f>
      </c>
      <c r="K81" s="9"/>
      <c r="L81" s="13" t="s">
        <v>117</v>
      </c>
      <c r="M81" s="14">
        <v>210</v>
      </c>
      <c r="N81" s="13" t="s">
        <v>118</v>
      </c>
      <c r="O81" s="13" t="s">
        <v>119</v>
      </c>
      <c r="P81" s="13" t="s">
        <v>477</v>
      </c>
      <c r="Q81" s="14" t="s">
        <v>58</v>
      </c>
      <c r="R81" s="13" t="s">
        <v>33</v>
      </c>
      <c r="S81" s="13" t="s">
        <v>34</v>
      </c>
      <c r="T81" s="15">
        <v>0</v>
      </c>
      <c r="U81" s="13" t="s">
        <v>35</v>
      </c>
      <c r="V81" s="15" t="s">
        <v>64</v>
      </c>
      <c r="W81" s="13" t="s">
        <v>48</v>
      </c>
      <c r="X81" s="15" t="s">
        <v>472</v>
      </c>
      <c r="Y81" s="13" t="s">
        <v>37</v>
      </c>
    </row>
    <row x14ac:dyDescent="0.25" r="82" customHeight="1" ht="18.75">
      <c r="A82" s="5">
        <v>74020682</v>
      </c>
      <c r="B82" s="6">
        <v>270</v>
      </c>
      <c r="C82" s="7" t="s">
        <v>478</v>
      </c>
      <c r="D82" s="7" t="s">
        <v>479</v>
      </c>
      <c r="E82" s="8">
        <v>74020682</v>
      </c>
      <c r="F82" s="8">
        <v>270</v>
      </c>
      <c r="G82" s="7" t="s">
        <v>27</v>
      </c>
      <c r="H82" s="7" t="s">
        <v>480</v>
      </c>
      <c r="I82" s="7" t="s">
        <v>481</v>
      </c>
      <c r="J82" s="7" t="s">
        <v>467</v>
      </c>
      <c r="K82" s="9"/>
      <c r="L82" s="7" t="s">
        <v>388</v>
      </c>
      <c r="M82" s="8">
        <v>245</v>
      </c>
      <c r="N82" s="7" t="s">
        <v>389</v>
      </c>
      <c r="O82" s="7" t="s">
        <v>32</v>
      </c>
      <c r="P82" s="7" t="s">
        <v>32</v>
      </c>
      <c r="Q82" s="8" t="s">
        <v>482</v>
      </c>
      <c r="R82" s="7" t="s">
        <v>33</v>
      </c>
      <c r="S82" s="7" t="s">
        <v>34</v>
      </c>
      <c r="T82" s="10">
        <v>0</v>
      </c>
      <c r="U82" s="7" t="s">
        <v>48</v>
      </c>
      <c r="V82" s="10" t="s">
        <v>214</v>
      </c>
      <c r="W82" s="7" t="s">
        <v>48</v>
      </c>
      <c r="X82" s="10" t="s">
        <v>36</v>
      </c>
      <c r="Y82" s="7" t="s">
        <v>59</v>
      </c>
    </row>
    <row x14ac:dyDescent="0.25" r="83" customHeight="1" ht="18.75">
      <c r="A83" s="11">
        <v>74020681</v>
      </c>
      <c r="B83" s="12">
        <v>271</v>
      </c>
      <c r="C83" s="13" t="s">
        <v>483</v>
      </c>
      <c r="D83" s="13" t="s">
        <v>484</v>
      </c>
      <c r="E83" s="14">
        <v>74020681</v>
      </c>
      <c r="F83" s="14">
        <v>271</v>
      </c>
      <c r="G83" s="13" t="s">
        <v>27</v>
      </c>
      <c r="H83" s="13" t="s">
        <v>485</v>
      </c>
      <c r="I83" s="13" t="s">
        <v>486</v>
      </c>
      <c r="J83" s="14">
        <f>74951980969</f>
      </c>
      <c r="K83" s="9"/>
      <c r="L83" s="13" t="s">
        <v>80</v>
      </c>
      <c r="M83" s="14">
        <v>237</v>
      </c>
      <c r="N83" s="13" t="s">
        <v>487</v>
      </c>
      <c r="O83" s="13" t="s">
        <v>32</v>
      </c>
      <c r="P83" s="13" t="s">
        <v>32</v>
      </c>
      <c r="Q83" s="14" t="s">
        <v>488</v>
      </c>
      <c r="R83" s="13" t="s">
        <v>33</v>
      </c>
      <c r="S83" s="13" t="s">
        <v>34</v>
      </c>
      <c r="T83" s="15">
        <v>0</v>
      </c>
      <c r="U83" s="13" t="s">
        <v>48</v>
      </c>
      <c r="V83" s="15" t="s">
        <v>214</v>
      </c>
      <c r="W83" s="13" t="s">
        <v>35</v>
      </c>
      <c r="X83" s="15" t="s">
        <v>65</v>
      </c>
      <c r="Y83" s="13" t="s">
        <v>59</v>
      </c>
    </row>
    <row x14ac:dyDescent="0.25" r="84" customHeight="1" ht="18.75">
      <c r="A84" s="5">
        <v>74020684</v>
      </c>
      <c r="B84" s="6">
        <v>273</v>
      </c>
      <c r="C84" s="7" t="s">
        <v>489</v>
      </c>
      <c r="D84" s="7" t="s">
        <v>490</v>
      </c>
      <c r="E84" s="8">
        <v>74020684</v>
      </c>
      <c r="F84" s="8">
        <v>273</v>
      </c>
      <c r="G84" s="7" t="s">
        <v>27</v>
      </c>
      <c r="H84" s="7" t="s">
        <v>491</v>
      </c>
      <c r="I84" s="7" t="s">
        <v>492</v>
      </c>
      <c r="J84" s="8">
        <f>79108644299</f>
      </c>
      <c r="K84" s="9"/>
      <c r="L84" s="7" t="s">
        <v>230</v>
      </c>
      <c r="M84" s="8">
        <v>100282</v>
      </c>
      <c r="N84" s="7" t="s">
        <v>493</v>
      </c>
      <c r="O84" s="7" t="s">
        <v>232</v>
      </c>
      <c r="P84" s="7" t="s">
        <v>233</v>
      </c>
      <c r="Q84" s="8" t="s">
        <v>494</v>
      </c>
      <c r="R84" s="7" t="s">
        <v>33</v>
      </c>
      <c r="S84" s="7" t="s">
        <v>34</v>
      </c>
      <c r="T84" s="10">
        <v>0</v>
      </c>
      <c r="U84" s="7" t="s">
        <v>48</v>
      </c>
      <c r="V84" s="10" t="s">
        <v>125</v>
      </c>
      <c r="W84" s="7" t="s">
        <v>48</v>
      </c>
      <c r="X84" s="10" t="s">
        <v>36</v>
      </c>
      <c r="Y84" s="7" t="s">
        <v>59</v>
      </c>
    </row>
    <row x14ac:dyDescent="0.25" r="85" customHeight="1" ht="18.75">
      <c r="A85" s="11">
        <v>74020693</v>
      </c>
      <c r="B85" s="12">
        <v>278</v>
      </c>
      <c r="C85" s="13" t="s">
        <v>495</v>
      </c>
      <c r="D85" s="13" t="s">
        <v>496</v>
      </c>
      <c r="E85" s="14">
        <v>74020693</v>
      </c>
      <c r="F85" s="14">
        <v>278</v>
      </c>
      <c r="G85" s="13" t="s">
        <v>27</v>
      </c>
      <c r="H85" s="13" t="s">
        <v>497</v>
      </c>
      <c r="I85" s="13" t="s">
        <v>498</v>
      </c>
      <c r="J85" s="14">
        <f>79210014221</f>
      </c>
      <c r="K85" s="9"/>
      <c r="L85" s="13" t="s">
        <v>54</v>
      </c>
      <c r="M85" s="14">
        <v>188</v>
      </c>
      <c r="N85" s="13" t="s">
        <v>55</v>
      </c>
      <c r="O85" s="13" t="s">
        <v>56</v>
      </c>
      <c r="P85" s="13" t="s">
        <v>458</v>
      </c>
      <c r="Q85" s="14" t="s">
        <v>58</v>
      </c>
      <c r="R85" s="13" t="s">
        <v>33</v>
      </c>
      <c r="S85" s="13" t="s">
        <v>34</v>
      </c>
      <c r="T85" s="15">
        <v>0</v>
      </c>
      <c r="U85" s="13"/>
      <c r="V85" s="15">
        <v>0</v>
      </c>
      <c r="W85" s="13" t="s">
        <v>35</v>
      </c>
      <c r="X85" s="15" t="s">
        <v>65</v>
      </c>
      <c r="Y85" s="13" t="s">
        <v>37</v>
      </c>
    </row>
    <row x14ac:dyDescent="0.25" r="86" customHeight="1" ht="18.75">
      <c r="A86" s="5">
        <v>74020692</v>
      </c>
      <c r="B86" s="6">
        <v>279</v>
      </c>
      <c r="C86" s="7" t="s">
        <v>499</v>
      </c>
      <c r="D86" s="7" t="s">
        <v>500</v>
      </c>
      <c r="E86" s="8">
        <v>74020692</v>
      </c>
      <c r="F86" s="8">
        <v>279</v>
      </c>
      <c r="G86" s="7" t="s">
        <v>27</v>
      </c>
      <c r="H86" s="7" t="s">
        <v>501</v>
      </c>
      <c r="I86" s="7" t="s">
        <v>502</v>
      </c>
      <c r="J86" s="8">
        <f>79218975562</f>
      </c>
      <c r="K86" s="9"/>
      <c r="L86" s="7" t="s">
        <v>54</v>
      </c>
      <c r="M86" s="8">
        <v>188</v>
      </c>
      <c r="N86" s="7" t="s">
        <v>55</v>
      </c>
      <c r="O86" s="7" t="s">
        <v>56</v>
      </c>
      <c r="P86" s="7" t="s">
        <v>503</v>
      </c>
      <c r="Q86" s="8" t="s">
        <v>58</v>
      </c>
      <c r="R86" s="7" t="s">
        <v>33</v>
      </c>
      <c r="S86" s="7" t="s">
        <v>34</v>
      </c>
      <c r="T86" s="10">
        <v>0</v>
      </c>
      <c r="U86" s="7"/>
      <c r="V86" s="10">
        <v>0</v>
      </c>
      <c r="W86" s="7" t="s">
        <v>48</v>
      </c>
      <c r="X86" s="10" t="s">
        <v>36</v>
      </c>
      <c r="Y86" s="7" t="s">
        <v>84</v>
      </c>
    </row>
    <row x14ac:dyDescent="0.25" r="87" customHeight="1" ht="18.75">
      <c r="A87" s="11">
        <v>74020694</v>
      </c>
      <c r="B87" s="12">
        <v>280</v>
      </c>
      <c r="C87" s="13" t="s">
        <v>504</v>
      </c>
      <c r="D87" s="13" t="s">
        <v>505</v>
      </c>
      <c r="E87" s="14">
        <v>74020694</v>
      </c>
      <c r="F87" s="14">
        <v>280</v>
      </c>
      <c r="G87" s="13" t="s">
        <v>27</v>
      </c>
      <c r="H87" s="13" t="s">
        <v>506</v>
      </c>
      <c r="I87" s="13" t="s">
        <v>507</v>
      </c>
      <c r="J87" s="14">
        <f>73494915855</f>
      </c>
      <c r="K87" s="9"/>
      <c r="L87" s="13" t="s">
        <v>508</v>
      </c>
      <c r="M87" s="14">
        <v>100312</v>
      </c>
      <c r="N87" s="13" t="s">
        <v>509</v>
      </c>
      <c r="O87" s="13" t="s">
        <v>510</v>
      </c>
      <c r="P87" s="13" t="s">
        <v>511</v>
      </c>
      <c r="Q87" s="14" t="s">
        <v>512</v>
      </c>
      <c r="R87" s="13" t="s">
        <v>33</v>
      </c>
      <c r="S87" s="13" t="s">
        <v>34</v>
      </c>
      <c r="T87" s="15">
        <v>0</v>
      </c>
      <c r="U87" s="13"/>
      <c r="V87" s="15">
        <v>0</v>
      </c>
      <c r="W87" s="13" t="s">
        <v>35</v>
      </c>
      <c r="X87" s="15" t="s">
        <v>36</v>
      </c>
      <c r="Y87" s="13" t="s">
        <v>59</v>
      </c>
    </row>
    <row x14ac:dyDescent="0.25" r="88" customHeight="1" ht="18.75">
      <c r="A88" s="5">
        <v>74020698</v>
      </c>
      <c r="B88" s="6">
        <v>281</v>
      </c>
      <c r="C88" s="7" t="s">
        <v>513</v>
      </c>
      <c r="D88" s="7" t="s">
        <v>514</v>
      </c>
      <c r="E88" s="8">
        <v>74020698</v>
      </c>
      <c r="F88" s="8">
        <v>281</v>
      </c>
      <c r="G88" s="7" t="s">
        <v>27</v>
      </c>
      <c r="H88" s="7" t="s">
        <v>515</v>
      </c>
      <c r="I88" s="7" t="s">
        <v>516</v>
      </c>
      <c r="J88" s="8">
        <f>78332247408</f>
      </c>
      <c r="K88" s="9"/>
      <c r="L88" s="7" t="s">
        <v>42</v>
      </c>
      <c r="M88" s="8">
        <v>111</v>
      </c>
      <c r="N88" s="7" t="s">
        <v>249</v>
      </c>
      <c r="O88" s="7" t="s">
        <v>44</v>
      </c>
      <c r="P88" s="7" t="s">
        <v>250</v>
      </c>
      <c r="Q88" s="8" t="s">
        <v>517</v>
      </c>
      <c r="R88" s="7" t="s">
        <v>33</v>
      </c>
      <c r="S88" s="7" t="s">
        <v>34</v>
      </c>
      <c r="T88" s="10">
        <v>0</v>
      </c>
      <c r="U88" s="7" t="s">
        <v>48</v>
      </c>
      <c r="V88" s="10" t="s">
        <v>64</v>
      </c>
      <c r="W88" s="7" t="s">
        <v>48</v>
      </c>
      <c r="X88" s="10" t="s">
        <v>36</v>
      </c>
      <c r="Y88" s="7" t="s">
        <v>37</v>
      </c>
    </row>
    <row x14ac:dyDescent="0.25" r="89" customHeight="1" ht="18.75">
      <c r="A89" s="11">
        <v>74020696</v>
      </c>
      <c r="B89" s="12">
        <v>283</v>
      </c>
      <c r="C89" s="13" t="s">
        <v>518</v>
      </c>
      <c r="D89" s="13" t="s">
        <v>519</v>
      </c>
      <c r="E89" s="14">
        <v>74020696</v>
      </c>
      <c r="F89" s="14">
        <v>283</v>
      </c>
      <c r="G89" s="13" t="s">
        <v>27</v>
      </c>
      <c r="H89" s="13" t="s">
        <v>520</v>
      </c>
      <c r="I89" s="13" t="s">
        <v>521</v>
      </c>
      <c r="J89" s="14">
        <f>79636304094</f>
      </c>
      <c r="K89" s="9"/>
      <c r="L89" s="13" t="s">
        <v>30</v>
      </c>
      <c r="M89" s="14">
        <v>56</v>
      </c>
      <c r="N89" s="13" t="s">
        <v>31</v>
      </c>
      <c r="O89" s="13" t="s">
        <v>32</v>
      </c>
      <c r="P89" s="13" t="s">
        <v>32</v>
      </c>
      <c r="Q89" s="14" t="s">
        <v>58</v>
      </c>
      <c r="R89" s="13" t="s">
        <v>33</v>
      </c>
      <c r="S89" s="13" t="s">
        <v>34</v>
      </c>
      <c r="T89" s="15">
        <v>0</v>
      </c>
      <c r="U89" s="13" t="s">
        <v>48</v>
      </c>
      <c r="V89" s="15" t="s">
        <v>64</v>
      </c>
      <c r="W89" s="13" t="s">
        <v>48</v>
      </c>
      <c r="X89" s="15" t="s">
        <v>36</v>
      </c>
      <c r="Y89" s="13" t="s">
        <v>37</v>
      </c>
    </row>
    <row x14ac:dyDescent="0.25" r="90" customHeight="1" ht="18.75">
      <c r="A90" s="5">
        <v>74020695</v>
      </c>
      <c r="B90" s="6">
        <v>284</v>
      </c>
      <c r="C90" s="7" t="s">
        <v>522</v>
      </c>
      <c r="D90" s="7" t="s">
        <v>523</v>
      </c>
      <c r="E90" s="8">
        <v>74020695</v>
      </c>
      <c r="F90" s="8">
        <v>284</v>
      </c>
      <c r="G90" s="7" t="s">
        <v>27</v>
      </c>
      <c r="H90" s="7" t="s">
        <v>524</v>
      </c>
      <c r="I90" s="7" t="s">
        <v>525</v>
      </c>
      <c r="J90" s="8">
        <f>79636304670</f>
      </c>
      <c r="K90" s="9"/>
      <c r="L90" s="7" t="s">
        <v>30</v>
      </c>
      <c r="M90" s="8">
        <v>56</v>
      </c>
      <c r="N90" s="7" t="s">
        <v>31</v>
      </c>
      <c r="O90" s="7" t="s">
        <v>232</v>
      </c>
      <c r="P90" s="7" t="s">
        <v>526</v>
      </c>
      <c r="Q90" s="8" t="s">
        <v>523</v>
      </c>
      <c r="R90" s="7" t="s">
        <v>33</v>
      </c>
      <c r="S90" s="7" t="s">
        <v>34</v>
      </c>
      <c r="T90" s="10">
        <v>0</v>
      </c>
      <c r="U90" s="7" t="s">
        <v>48</v>
      </c>
      <c r="V90" s="10" t="s">
        <v>64</v>
      </c>
      <c r="W90" s="7" t="s">
        <v>48</v>
      </c>
      <c r="X90" s="10" t="s">
        <v>65</v>
      </c>
      <c r="Y90" s="7" t="s">
        <v>37</v>
      </c>
    </row>
    <row x14ac:dyDescent="0.25" r="91" customHeight="1" ht="18.75">
      <c r="A91" s="11">
        <v>74020701</v>
      </c>
      <c r="B91" s="12">
        <v>285</v>
      </c>
      <c r="C91" s="13" t="s">
        <v>527</v>
      </c>
      <c r="D91" s="13" t="s">
        <v>528</v>
      </c>
      <c r="E91" s="14">
        <v>74020701</v>
      </c>
      <c r="F91" s="14">
        <v>285</v>
      </c>
      <c r="G91" s="13" t="s">
        <v>27</v>
      </c>
      <c r="H91" s="13" t="s">
        <v>529</v>
      </c>
      <c r="I91" s="13" t="s">
        <v>530</v>
      </c>
      <c r="J91" s="14">
        <f>74999482805</f>
      </c>
      <c r="K91" s="9"/>
      <c r="L91" s="13" t="s">
        <v>30</v>
      </c>
      <c r="M91" s="14">
        <v>56</v>
      </c>
      <c r="N91" s="13" t="s">
        <v>31</v>
      </c>
      <c r="O91" s="13" t="s">
        <v>32</v>
      </c>
      <c r="P91" s="13" t="s">
        <v>32</v>
      </c>
      <c r="Q91" s="14" t="s">
        <v>58</v>
      </c>
      <c r="R91" s="13" t="s">
        <v>33</v>
      </c>
      <c r="S91" s="13" t="s">
        <v>34</v>
      </c>
      <c r="T91" s="15">
        <v>0</v>
      </c>
      <c r="U91" s="13" t="s">
        <v>48</v>
      </c>
      <c r="V91" s="15" t="s">
        <v>64</v>
      </c>
      <c r="W91" s="13" t="s">
        <v>48</v>
      </c>
      <c r="X91" s="15" t="s">
        <v>36</v>
      </c>
      <c r="Y91" s="13" t="s">
        <v>59</v>
      </c>
    </row>
    <row x14ac:dyDescent="0.25" r="92" customHeight="1" ht="18.75">
      <c r="A92" s="5">
        <v>74020699</v>
      </c>
      <c r="B92" s="6">
        <v>286</v>
      </c>
      <c r="C92" s="7" t="s">
        <v>531</v>
      </c>
      <c r="D92" s="7" t="s">
        <v>532</v>
      </c>
      <c r="E92" s="8">
        <v>74020699</v>
      </c>
      <c r="F92" s="8">
        <v>286</v>
      </c>
      <c r="G92" s="7" t="s">
        <v>27</v>
      </c>
      <c r="H92" s="7" t="s">
        <v>533</v>
      </c>
      <c r="I92" s="7" t="s">
        <v>534</v>
      </c>
      <c r="J92" s="8">
        <f>74994266420</f>
      </c>
      <c r="K92" s="9"/>
      <c r="L92" s="7" t="s">
        <v>30</v>
      </c>
      <c r="M92" s="8">
        <v>56</v>
      </c>
      <c r="N92" s="7" t="s">
        <v>31</v>
      </c>
      <c r="O92" s="7" t="s">
        <v>82</v>
      </c>
      <c r="P92" s="7" t="s">
        <v>268</v>
      </c>
      <c r="Q92" s="8" t="s">
        <v>58</v>
      </c>
      <c r="R92" s="7" t="s">
        <v>33</v>
      </c>
      <c r="S92" s="7" t="s">
        <v>34</v>
      </c>
      <c r="T92" s="10">
        <v>0</v>
      </c>
      <c r="U92" s="7" t="s">
        <v>48</v>
      </c>
      <c r="V92" s="10" t="s">
        <v>64</v>
      </c>
      <c r="W92" s="7" t="s">
        <v>48</v>
      </c>
      <c r="X92" s="10" t="s">
        <v>36</v>
      </c>
      <c r="Y92" s="7" t="s">
        <v>37</v>
      </c>
    </row>
    <row x14ac:dyDescent="0.25" r="93" customHeight="1" ht="18.75">
      <c r="A93" s="11">
        <v>74020702</v>
      </c>
      <c r="B93" s="12">
        <v>287</v>
      </c>
      <c r="C93" s="13" t="s">
        <v>535</v>
      </c>
      <c r="D93" s="13" t="s">
        <v>536</v>
      </c>
      <c r="E93" s="14">
        <v>74020702</v>
      </c>
      <c r="F93" s="14">
        <v>287</v>
      </c>
      <c r="G93" s="13" t="s">
        <v>27</v>
      </c>
      <c r="H93" s="13" t="s">
        <v>537</v>
      </c>
      <c r="I93" s="13" t="s">
        <v>538</v>
      </c>
      <c r="J93" s="14">
        <f>73472262444</f>
      </c>
      <c r="K93" s="14">
        <v>1015</v>
      </c>
      <c r="L93" s="13" t="s">
        <v>94</v>
      </c>
      <c r="M93" s="14">
        <v>264</v>
      </c>
      <c r="N93" s="13" t="s">
        <v>539</v>
      </c>
      <c r="O93" s="13" t="s">
        <v>96</v>
      </c>
      <c r="P93" s="13" t="s">
        <v>97</v>
      </c>
      <c r="Q93" s="14" t="s">
        <v>536</v>
      </c>
      <c r="R93" s="13" t="s">
        <v>33</v>
      </c>
      <c r="S93" s="13" t="s">
        <v>34</v>
      </c>
      <c r="T93" s="15">
        <v>0</v>
      </c>
      <c r="U93" s="13" t="s">
        <v>48</v>
      </c>
      <c r="V93" s="15" t="s">
        <v>64</v>
      </c>
      <c r="W93" s="13" t="s">
        <v>48</v>
      </c>
      <c r="X93" s="15" t="s">
        <v>36</v>
      </c>
      <c r="Y93" s="13" t="s">
        <v>37</v>
      </c>
    </row>
    <row x14ac:dyDescent="0.25" r="94" customHeight="1" ht="18.75">
      <c r="A94" s="5">
        <v>74020712</v>
      </c>
      <c r="B94" s="6">
        <v>296</v>
      </c>
      <c r="C94" s="7" t="s">
        <v>540</v>
      </c>
      <c r="D94" s="7" t="s">
        <v>541</v>
      </c>
      <c r="E94" s="8">
        <v>74020712</v>
      </c>
      <c r="F94" s="8">
        <v>296</v>
      </c>
      <c r="G94" s="7" t="s">
        <v>27</v>
      </c>
      <c r="H94" s="7" t="s">
        <v>542</v>
      </c>
      <c r="I94" s="7" t="s">
        <v>543</v>
      </c>
      <c r="J94" s="8">
        <f>79299187717</f>
      </c>
      <c r="K94" s="9"/>
      <c r="L94" s="7" t="s">
        <v>544</v>
      </c>
      <c r="M94" s="8">
        <v>74</v>
      </c>
      <c r="N94" s="7" t="s">
        <v>545</v>
      </c>
      <c r="O94" s="7" t="s">
        <v>32</v>
      </c>
      <c r="P94" s="7" t="s">
        <v>32</v>
      </c>
      <c r="Q94" s="8" t="s">
        <v>58</v>
      </c>
      <c r="R94" s="7" t="s">
        <v>33</v>
      </c>
      <c r="S94" s="7" t="s">
        <v>34</v>
      </c>
      <c r="T94" s="10">
        <v>0</v>
      </c>
      <c r="U94" s="7" t="s">
        <v>48</v>
      </c>
      <c r="V94" s="10" t="s">
        <v>214</v>
      </c>
      <c r="W94" s="7" t="s">
        <v>35</v>
      </c>
      <c r="X94" s="10" t="s">
        <v>472</v>
      </c>
      <c r="Y94" s="7" t="s">
        <v>37</v>
      </c>
    </row>
    <row x14ac:dyDescent="0.25" r="95" customHeight="1" ht="18.75">
      <c r="A95" s="11">
        <v>74020717</v>
      </c>
      <c r="B95" s="12">
        <v>301</v>
      </c>
      <c r="C95" s="13" t="s">
        <v>546</v>
      </c>
      <c r="D95" s="13" t="s">
        <v>547</v>
      </c>
      <c r="E95" s="14">
        <v>74020717</v>
      </c>
      <c r="F95" s="14">
        <v>301</v>
      </c>
      <c r="G95" s="13" t="s">
        <v>27</v>
      </c>
      <c r="H95" s="13" t="s">
        <v>548</v>
      </c>
      <c r="I95" s="13" t="s">
        <v>549</v>
      </c>
      <c r="J95" s="14">
        <f>78412235888</f>
      </c>
      <c r="K95" s="14">
        <v>230</v>
      </c>
      <c r="L95" s="13" t="s">
        <v>146</v>
      </c>
      <c r="M95" s="14">
        <v>53</v>
      </c>
      <c r="N95" s="13" t="s">
        <v>147</v>
      </c>
      <c r="O95" s="13" t="s">
        <v>44</v>
      </c>
      <c r="P95" s="13" t="s">
        <v>148</v>
      </c>
      <c r="Q95" s="14" t="s">
        <v>550</v>
      </c>
      <c r="R95" s="13" t="s">
        <v>33</v>
      </c>
      <c r="S95" s="13" t="s">
        <v>34</v>
      </c>
      <c r="T95" s="15">
        <v>0</v>
      </c>
      <c r="U95" s="13" t="s">
        <v>48</v>
      </c>
      <c r="V95" s="15" t="s">
        <v>214</v>
      </c>
      <c r="W95" s="13" t="s">
        <v>48</v>
      </c>
      <c r="X95" s="15" t="s">
        <v>36</v>
      </c>
      <c r="Y95" s="13" t="s">
        <v>84</v>
      </c>
    </row>
    <row x14ac:dyDescent="0.25" r="96" customHeight="1" ht="18.75">
      <c r="A96" s="5">
        <v>74020719</v>
      </c>
      <c r="B96" s="6">
        <v>303</v>
      </c>
      <c r="C96" s="7" t="s">
        <v>551</v>
      </c>
      <c r="D96" s="7" t="s">
        <v>552</v>
      </c>
      <c r="E96" s="8">
        <v>74020719</v>
      </c>
      <c r="F96" s="8">
        <v>303</v>
      </c>
      <c r="G96" s="7" t="s">
        <v>27</v>
      </c>
      <c r="H96" s="7" t="s">
        <v>553</v>
      </c>
      <c r="I96" s="7" t="s">
        <v>554</v>
      </c>
      <c r="J96" s="8">
        <f>79306948819</f>
      </c>
      <c r="K96" s="9"/>
      <c r="L96" s="7" t="s">
        <v>54</v>
      </c>
      <c r="M96" s="8">
        <v>188</v>
      </c>
      <c r="N96" s="7" t="s">
        <v>55</v>
      </c>
      <c r="O96" s="7" t="s">
        <v>44</v>
      </c>
      <c r="P96" s="7" t="s">
        <v>89</v>
      </c>
      <c r="Q96" s="8" t="s">
        <v>58</v>
      </c>
      <c r="R96" s="7" t="s">
        <v>33</v>
      </c>
      <c r="S96" s="7" t="s">
        <v>34</v>
      </c>
      <c r="T96" s="10">
        <v>0</v>
      </c>
      <c r="U96" s="7" t="s">
        <v>35</v>
      </c>
      <c r="V96" s="10" t="s">
        <v>64</v>
      </c>
      <c r="W96" s="7" t="s">
        <v>48</v>
      </c>
      <c r="X96" s="10" t="s">
        <v>36</v>
      </c>
      <c r="Y96" s="7" t="s">
        <v>59</v>
      </c>
    </row>
    <row x14ac:dyDescent="0.25" r="97" customHeight="1" ht="18.75">
      <c r="A97" s="11">
        <v>74020721</v>
      </c>
      <c r="B97" s="12">
        <v>304</v>
      </c>
      <c r="C97" s="13" t="s">
        <v>555</v>
      </c>
      <c r="D97" s="13" t="s">
        <v>556</v>
      </c>
      <c r="E97" s="14">
        <v>74020721</v>
      </c>
      <c r="F97" s="14">
        <v>304</v>
      </c>
      <c r="G97" s="13" t="s">
        <v>27</v>
      </c>
      <c r="H97" s="13" t="s">
        <v>557</v>
      </c>
      <c r="I97" s="13" t="s">
        <v>558</v>
      </c>
      <c r="J97" s="14">
        <f>78552910030</f>
      </c>
      <c r="K97" s="9"/>
      <c r="L97" s="13" t="s">
        <v>42</v>
      </c>
      <c r="M97" s="14">
        <v>122</v>
      </c>
      <c r="N97" s="13" t="s">
        <v>139</v>
      </c>
      <c r="O97" s="13" t="s">
        <v>44</v>
      </c>
      <c r="P97" s="13" t="s">
        <v>140</v>
      </c>
      <c r="Q97" s="14" t="s">
        <v>559</v>
      </c>
      <c r="R97" s="13" t="s">
        <v>33</v>
      </c>
      <c r="S97" s="13" t="s">
        <v>34</v>
      </c>
      <c r="T97" s="15">
        <v>0</v>
      </c>
      <c r="U97" s="13" t="s">
        <v>48</v>
      </c>
      <c r="V97" s="15" t="s">
        <v>64</v>
      </c>
      <c r="W97" s="13" t="s">
        <v>48</v>
      </c>
      <c r="X97" s="15" t="s">
        <v>36</v>
      </c>
      <c r="Y97" s="13" t="s">
        <v>84</v>
      </c>
    </row>
    <row x14ac:dyDescent="0.25" r="98" customHeight="1" ht="18.75">
      <c r="A98" s="5">
        <v>74020740</v>
      </c>
      <c r="B98" s="6">
        <v>314</v>
      </c>
      <c r="C98" s="7" t="s">
        <v>560</v>
      </c>
      <c r="D98" s="7" t="s">
        <v>561</v>
      </c>
      <c r="E98" s="8">
        <v>74020740</v>
      </c>
      <c r="F98" s="8">
        <v>314</v>
      </c>
      <c r="G98" s="7" t="s">
        <v>27</v>
      </c>
      <c r="H98" s="7" t="s">
        <v>562</v>
      </c>
      <c r="I98" s="7" t="s">
        <v>563</v>
      </c>
      <c r="J98" s="8">
        <f>74951980916</f>
      </c>
      <c r="K98" s="9"/>
      <c r="L98" s="7" t="s">
        <v>80</v>
      </c>
      <c r="M98" s="8">
        <v>235</v>
      </c>
      <c r="N98" s="7" t="s">
        <v>564</v>
      </c>
      <c r="O98" s="7" t="s">
        <v>32</v>
      </c>
      <c r="P98" s="7" t="s">
        <v>32</v>
      </c>
      <c r="Q98" s="8" t="s">
        <v>58</v>
      </c>
      <c r="R98" s="7" t="s">
        <v>33</v>
      </c>
      <c r="S98" s="7" t="s">
        <v>47</v>
      </c>
      <c r="T98" s="10">
        <v>1</v>
      </c>
      <c r="U98" s="7" t="s">
        <v>48</v>
      </c>
      <c r="V98" s="10" t="s">
        <v>64</v>
      </c>
      <c r="W98" s="7" t="s">
        <v>35</v>
      </c>
      <c r="X98" s="10" t="s">
        <v>472</v>
      </c>
      <c r="Y98" s="7" t="s">
        <v>59</v>
      </c>
    </row>
    <row x14ac:dyDescent="0.25" r="99" customHeight="1" ht="18.75">
      <c r="A99" s="11">
        <v>74020743</v>
      </c>
      <c r="B99" s="12">
        <v>316</v>
      </c>
      <c r="C99" s="13" t="s">
        <v>565</v>
      </c>
      <c r="D99" s="13" t="s">
        <v>566</v>
      </c>
      <c r="E99" s="14">
        <v>74020743</v>
      </c>
      <c r="F99" s="14">
        <v>316</v>
      </c>
      <c r="G99" s="13" t="s">
        <v>27</v>
      </c>
      <c r="H99" s="13" t="s">
        <v>567</v>
      </c>
      <c r="I99" s="13" t="s">
        <v>568</v>
      </c>
      <c r="J99" s="14">
        <f>74957255646</f>
      </c>
      <c r="K99" s="14">
        <v>1135</v>
      </c>
      <c r="L99" s="13" t="s">
        <v>30</v>
      </c>
      <c r="M99" s="14">
        <v>56</v>
      </c>
      <c r="N99" s="13" t="s">
        <v>31</v>
      </c>
      <c r="O99" s="13" t="s">
        <v>32</v>
      </c>
      <c r="P99" s="13" t="s">
        <v>32</v>
      </c>
      <c r="Q99" s="14" t="s">
        <v>488</v>
      </c>
      <c r="R99" s="13" t="s">
        <v>33</v>
      </c>
      <c r="S99" s="13" t="s">
        <v>34</v>
      </c>
      <c r="T99" s="15">
        <v>0</v>
      </c>
      <c r="U99" s="13" t="s">
        <v>48</v>
      </c>
      <c r="V99" s="15" t="s">
        <v>64</v>
      </c>
      <c r="W99" s="13" t="s">
        <v>48</v>
      </c>
      <c r="X99" s="15" t="s">
        <v>36</v>
      </c>
      <c r="Y99" s="13" t="s">
        <v>37</v>
      </c>
    </row>
    <row x14ac:dyDescent="0.25" r="100" customHeight="1" ht="18.75">
      <c r="A100" s="5">
        <v>74020733</v>
      </c>
      <c r="B100" s="6">
        <v>317</v>
      </c>
      <c r="C100" s="7" t="s">
        <v>569</v>
      </c>
      <c r="D100" s="7" t="s">
        <v>570</v>
      </c>
      <c r="E100" s="8">
        <v>74020733</v>
      </c>
      <c r="F100" s="8">
        <v>317</v>
      </c>
      <c r="G100" s="7" t="s">
        <v>27</v>
      </c>
      <c r="H100" s="7" t="s">
        <v>571</v>
      </c>
      <c r="I100" s="7" t="s">
        <v>572</v>
      </c>
      <c r="J100" s="8">
        <f>79636308771</f>
      </c>
      <c r="K100" s="9"/>
      <c r="L100" s="7" t="s">
        <v>30</v>
      </c>
      <c r="M100" s="8">
        <v>56</v>
      </c>
      <c r="N100" s="7" t="s">
        <v>31</v>
      </c>
      <c r="O100" s="7" t="s">
        <v>232</v>
      </c>
      <c r="P100" s="7" t="s">
        <v>526</v>
      </c>
      <c r="Q100" s="8" t="s">
        <v>570</v>
      </c>
      <c r="R100" s="7" t="s">
        <v>33</v>
      </c>
      <c r="S100" s="7" t="s">
        <v>34</v>
      </c>
      <c r="T100" s="10">
        <v>0</v>
      </c>
      <c r="U100" s="7" t="s">
        <v>48</v>
      </c>
      <c r="V100" s="10" t="s">
        <v>64</v>
      </c>
      <c r="W100" s="7" t="s">
        <v>48</v>
      </c>
      <c r="X100" s="10" t="s">
        <v>65</v>
      </c>
      <c r="Y100" s="7" t="s">
        <v>59</v>
      </c>
    </row>
    <row x14ac:dyDescent="0.25" r="101" customHeight="1" ht="18.75">
      <c r="A101" s="11">
        <v>74020734</v>
      </c>
      <c r="B101" s="12">
        <v>318</v>
      </c>
      <c r="C101" s="13" t="s">
        <v>573</v>
      </c>
      <c r="D101" s="13" t="s">
        <v>574</v>
      </c>
      <c r="E101" s="14">
        <v>74020734</v>
      </c>
      <c r="F101" s="14">
        <v>318</v>
      </c>
      <c r="G101" s="13" t="s">
        <v>27</v>
      </c>
      <c r="H101" s="13" t="s">
        <v>575</v>
      </c>
      <c r="I101" s="13" t="s">
        <v>576</v>
      </c>
      <c r="J101" s="14">
        <f>79636300789</f>
      </c>
      <c r="K101" s="9"/>
      <c r="L101" s="13" t="s">
        <v>30</v>
      </c>
      <c r="M101" s="14">
        <v>56</v>
      </c>
      <c r="N101" s="13" t="s">
        <v>31</v>
      </c>
      <c r="O101" s="13" t="s">
        <v>232</v>
      </c>
      <c r="P101" s="13" t="s">
        <v>526</v>
      </c>
      <c r="Q101" s="14" t="s">
        <v>574</v>
      </c>
      <c r="R101" s="13" t="s">
        <v>33</v>
      </c>
      <c r="S101" s="13" t="s">
        <v>34</v>
      </c>
      <c r="T101" s="15">
        <v>0</v>
      </c>
      <c r="U101" s="13" t="s">
        <v>48</v>
      </c>
      <c r="V101" s="15" t="s">
        <v>64</v>
      </c>
      <c r="W101" s="13" t="s">
        <v>48</v>
      </c>
      <c r="X101" s="15" t="s">
        <v>65</v>
      </c>
      <c r="Y101" s="13" t="s">
        <v>59</v>
      </c>
    </row>
    <row x14ac:dyDescent="0.25" r="102" customHeight="1" ht="18.75">
      <c r="A102" s="5">
        <v>74020741</v>
      </c>
      <c r="B102" s="6">
        <v>319</v>
      </c>
      <c r="C102" s="7" t="s">
        <v>577</v>
      </c>
      <c r="D102" s="7" t="s">
        <v>578</v>
      </c>
      <c r="E102" s="8">
        <v>74020741</v>
      </c>
      <c r="F102" s="8">
        <v>319</v>
      </c>
      <c r="G102" s="7" t="s">
        <v>27</v>
      </c>
      <c r="H102" s="7" t="s">
        <v>579</v>
      </c>
      <c r="I102" s="7" t="s">
        <v>580</v>
      </c>
      <c r="J102" s="8">
        <f>73842452355</f>
      </c>
      <c r="K102" s="9"/>
      <c r="L102" s="7" t="s">
        <v>415</v>
      </c>
      <c r="M102" s="8">
        <v>157</v>
      </c>
      <c r="N102" s="7" t="s">
        <v>416</v>
      </c>
      <c r="O102" s="7" t="s">
        <v>73</v>
      </c>
      <c r="P102" s="7" t="s">
        <v>417</v>
      </c>
      <c r="Q102" s="8" t="s">
        <v>581</v>
      </c>
      <c r="R102" s="7" t="s">
        <v>33</v>
      </c>
      <c r="S102" s="7" t="s">
        <v>34</v>
      </c>
      <c r="T102" s="10">
        <v>0</v>
      </c>
      <c r="U102" s="7" t="s">
        <v>48</v>
      </c>
      <c r="V102" s="10" t="s">
        <v>214</v>
      </c>
      <c r="W102" s="7" t="s">
        <v>48</v>
      </c>
      <c r="X102" s="10" t="s">
        <v>36</v>
      </c>
      <c r="Y102" s="7" t="s">
        <v>37</v>
      </c>
    </row>
    <row x14ac:dyDescent="0.25" r="103" customHeight="1" ht="18.75">
      <c r="A103" s="11">
        <v>74020746</v>
      </c>
      <c r="B103" s="12">
        <v>320</v>
      </c>
      <c r="C103" s="13" t="s">
        <v>582</v>
      </c>
      <c r="D103" s="13" t="s">
        <v>583</v>
      </c>
      <c r="E103" s="14">
        <v>74020746</v>
      </c>
      <c r="F103" s="14">
        <v>320</v>
      </c>
      <c r="G103" s="13" t="s">
        <v>27</v>
      </c>
      <c r="H103" s="13" t="s">
        <v>584</v>
      </c>
      <c r="I103" s="13" t="s">
        <v>585</v>
      </c>
      <c r="J103" s="14">
        <f>79250051596</f>
      </c>
      <c r="K103" s="9"/>
      <c r="L103" s="13" t="s">
        <v>54</v>
      </c>
      <c r="M103" s="14">
        <v>188</v>
      </c>
      <c r="N103" s="13" t="s">
        <v>55</v>
      </c>
      <c r="O103" s="13" t="s">
        <v>32</v>
      </c>
      <c r="P103" s="13" t="s">
        <v>32</v>
      </c>
      <c r="Q103" s="14" t="s">
        <v>58</v>
      </c>
      <c r="R103" s="13" t="s">
        <v>33</v>
      </c>
      <c r="S103" s="13" t="s">
        <v>34</v>
      </c>
      <c r="T103" s="15">
        <v>0</v>
      </c>
      <c r="U103" s="13"/>
      <c r="V103" s="15">
        <v>0</v>
      </c>
      <c r="W103" s="13" t="s">
        <v>48</v>
      </c>
      <c r="X103" s="15" t="s">
        <v>36</v>
      </c>
      <c r="Y103" s="13" t="s">
        <v>37</v>
      </c>
    </row>
    <row x14ac:dyDescent="0.25" r="104" customHeight="1" ht="18.75">
      <c r="A104" s="5">
        <v>74020757</v>
      </c>
      <c r="B104" s="6">
        <v>338</v>
      </c>
      <c r="C104" s="7" t="s">
        <v>586</v>
      </c>
      <c r="D104" s="7" t="s">
        <v>587</v>
      </c>
      <c r="E104" s="8">
        <v>74020757</v>
      </c>
      <c r="F104" s="8">
        <v>338</v>
      </c>
      <c r="G104" s="7" t="s">
        <v>27</v>
      </c>
      <c r="H104" s="7" t="s">
        <v>588</v>
      </c>
      <c r="I104" s="7" t="s">
        <v>589</v>
      </c>
      <c r="J104" s="8">
        <f>79636308825</f>
      </c>
      <c r="K104" s="9"/>
      <c r="L104" s="7" t="s">
        <v>30</v>
      </c>
      <c r="M104" s="8">
        <v>56</v>
      </c>
      <c r="N104" s="7" t="s">
        <v>31</v>
      </c>
      <c r="O104" s="7" t="s">
        <v>32</v>
      </c>
      <c r="P104" s="7" t="s">
        <v>32</v>
      </c>
      <c r="Q104" s="8" t="s">
        <v>58</v>
      </c>
      <c r="R104" s="7" t="s">
        <v>33</v>
      </c>
      <c r="S104" s="7" t="s">
        <v>34</v>
      </c>
      <c r="T104" s="10">
        <v>0</v>
      </c>
      <c r="U104" s="7"/>
      <c r="V104" s="10">
        <v>0</v>
      </c>
      <c r="W104" s="7" t="s">
        <v>48</v>
      </c>
      <c r="X104" s="10" t="s">
        <v>36</v>
      </c>
      <c r="Y104" s="7" t="s">
        <v>37</v>
      </c>
    </row>
    <row x14ac:dyDescent="0.25" r="105" customHeight="1" ht="18.75">
      <c r="A105" s="11">
        <v>74020758</v>
      </c>
      <c r="B105" s="12">
        <v>339</v>
      </c>
      <c r="C105" s="13" t="s">
        <v>590</v>
      </c>
      <c r="D105" s="13" t="s">
        <v>591</v>
      </c>
      <c r="E105" s="14">
        <v>74020758</v>
      </c>
      <c r="F105" s="14">
        <v>339</v>
      </c>
      <c r="G105" s="13" t="s">
        <v>27</v>
      </c>
      <c r="H105" s="13" t="s">
        <v>592</v>
      </c>
      <c r="I105" s="13" t="s">
        <v>593</v>
      </c>
      <c r="J105" s="14">
        <f>79636306327</f>
      </c>
      <c r="K105" s="9"/>
      <c r="L105" s="13" t="s">
        <v>30</v>
      </c>
      <c r="M105" s="14">
        <v>56</v>
      </c>
      <c r="N105" s="13" t="s">
        <v>31</v>
      </c>
      <c r="O105" s="13" t="s">
        <v>32</v>
      </c>
      <c r="P105" s="13" t="s">
        <v>32</v>
      </c>
      <c r="Q105" s="14" t="s">
        <v>594</v>
      </c>
      <c r="R105" s="13" t="s">
        <v>33</v>
      </c>
      <c r="S105" s="13" t="s">
        <v>34</v>
      </c>
      <c r="T105" s="15">
        <v>0</v>
      </c>
      <c r="U105" s="13"/>
      <c r="V105" s="15">
        <v>0</v>
      </c>
      <c r="W105" s="13" t="s">
        <v>48</v>
      </c>
      <c r="X105" s="15" t="s">
        <v>36</v>
      </c>
      <c r="Y105" s="13" t="s">
        <v>59</v>
      </c>
    </row>
    <row x14ac:dyDescent="0.25" r="106" customHeight="1" ht="18.75">
      <c r="A106" s="5">
        <v>74020763</v>
      </c>
      <c r="B106" s="6">
        <v>343</v>
      </c>
      <c r="C106" s="7" t="s">
        <v>595</v>
      </c>
      <c r="D106" s="7" t="s">
        <v>596</v>
      </c>
      <c r="E106" s="8">
        <v>74020763</v>
      </c>
      <c r="F106" s="8">
        <v>343</v>
      </c>
      <c r="G106" s="7" t="s">
        <v>27</v>
      </c>
      <c r="H106" s="7" t="s">
        <v>597</v>
      </c>
      <c r="I106" s="7" t="s">
        <v>598</v>
      </c>
      <c r="J106" s="8">
        <f>79636301389</f>
      </c>
      <c r="K106" s="9"/>
      <c r="L106" s="7" t="s">
        <v>30</v>
      </c>
      <c r="M106" s="8">
        <v>56</v>
      </c>
      <c r="N106" s="7" t="s">
        <v>31</v>
      </c>
      <c r="O106" s="7" t="s">
        <v>32</v>
      </c>
      <c r="P106" s="7" t="s">
        <v>32</v>
      </c>
      <c r="Q106" s="8" t="s">
        <v>58</v>
      </c>
      <c r="R106" s="7" t="s">
        <v>33</v>
      </c>
      <c r="S106" s="7" t="s">
        <v>34</v>
      </c>
      <c r="T106" s="10">
        <v>0</v>
      </c>
      <c r="U106" s="7" t="s">
        <v>48</v>
      </c>
      <c r="V106" s="10" t="s">
        <v>64</v>
      </c>
      <c r="W106" s="7" t="s">
        <v>48</v>
      </c>
      <c r="X106" s="10" t="s">
        <v>36</v>
      </c>
      <c r="Y106" s="7" t="s">
        <v>59</v>
      </c>
    </row>
    <row x14ac:dyDescent="0.25" r="107" customHeight="1" ht="18.75">
      <c r="A107" s="11">
        <v>74020777</v>
      </c>
      <c r="B107" s="12">
        <v>344</v>
      </c>
      <c r="C107" s="13" t="s">
        <v>599</v>
      </c>
      <c r="D107" s="13" t="s">
        <v>600</v>
      </c>
      <c r="E107" s="14">
        <v>74020777</v>
      </c>
      <c r="F107" s="14">
        <v>344</v>
      </c>
      <c r="G107" s="13" t="s">
        <v>27</v>
      </c>
      <c r="H107" s="13" t="s">
        <v>601</v>
      </c>
      <c r="I107" s="13" t="s">
        <v>602</v>
      </c>
      <c r="J107" s="14">
        <f>79636308620</f>
      </c>
      <c r="K107" s="9"/>
      <c r="L107" s="13" t="s">
        <v>30</v>
      </c>
      <c r="M107" s="14">
        <v>56</v>
      </c>
      <c r="N107" s="13" t="s">
        <v>31</v>
      </c>
      <c r="O107" s="13" t="s">
        <v>82</v>
      </c>
      <c r="P107" s="13" t="s">
        <v>603</v>
      </c>
      <c r="Q107" s="14" t="s">
        <v>58</v>
      </c>
      <c r="R107" s="13" t="s">
        <v>33</v>
      </c>
      <c r="S107" s="13" t="s">
        <v>34</v>
      </c>
      <c r="T107" s="15">
        <v>0</v>
      </c>
      <c r="U107" s="13"/>
      <c r="V107" s="15">
        <v>0</v>
      </c>
      <c r="W107" s="13" t="s">
        <v>48</v>
      </c>
      <c r="X107" s="15" t="s">
        <v>36</v>
      </c>
      <c r="Y107" s="13" t="s">
        <v>59</v>
      </c>
    </row>
    <row x14ac:dyDescent="0.25" r="108" customHeight="1" ht="18.75">
      <c r="A108" s="5">
        <v>74020776</v>
      </c>
      <c r="B108" s="6">
        <v>345</v>
      </c>
      <c r="C108" s="7" t="s">
        <v>604</v>
      </c>
      <c r="D108" s="7" t="s">
        <v>605</v>
      </c>
      <c r="E108" s="8">
        <v>74020776</v>
      </c>
      <c r="F108" s="8">
        <v>345</v>
      </c>
      <c r="G108" s="7" t="s">
        <v>27</v>
      </c>
      <c r="H108" s="7" t="s">
        <v>606</v>
      </c>
      <c r="I108" s="7" t="s">
        <v>607</v>
      </c>
      <c r="J108" s="8">
        <f>79636308840</f>
      </c>
      <c r="K108" s="9"/>
      <c r="L108" s="7" t="s">
        <v>30</v>
      </c>
      <c r="M108" s="8">
        <v>56</v>
      </c>
      <c r="N108" s="7" t="s">
        <v>31</v>
      </c>
      <c r="O108" s="7" t="s">
        <v>32</v>
      </c>
      <c r="P108" s="7" t="s">
        <v>32</v>
      </c>
      <c r="Q108" s="8" t="s">
        <v>58</v>
      </c>
      <c r="R108" s="7" t="s">
        <v>33</v>
      </c>
      <c r="S108" s="7" t="s">
        <v>34</v>
      </c>
      <c r="T108" s="10">
        <v>0</v>
      </c>
      <c r="U108" s="7"/>
      <c r="V108" s="10">
        <v>0</v>
      </c>
      <c r="W108" s="7" t="s">
        <v>48</v>
      </c>
      <c r="X108" s="10" t="s">
        <v>36</v>
      </c>
      <c r="Y108" s="7" t="s">
        <v>37</v>
      </c>
    </row>
    <row x14ac:dyDescent="0.25" r="109" customHeight="1" ht="18.75">
      <c r="A109" s="11">
        <v>74020764</v>
      </c>
      <c r="B109" s="12">
        <v>346</v>
      </c>
      <c r="C109" s="13" t="s">
        <v>608</v>
      </c>
      <c r="D109" s="13" t="s">
        <v>609</v>
      </c>
      <c r="E109" s="14">
        <v>74020764</v>
      </c>
      <c r="F109" s="14">
        <v>346</v>
      </c>
      <c r="G109" s="13" t="s">
        <v>27</v>
      </c>
      <c r="H109" s="13" t="s">
        <v>610</v>
      </c>
      <c r="I109" s="13" t="s">
        <v>611</v>
      </c>
      <c r="J109" s="14">
        <f>79295585542</f>
      </c>
      <c r="K109" s="9"/>
      <c r="L109" s="13" t="s">
        <v>544</v>
      </c>
      <c r="M109" s="14">
        <v>74</v>
      </c>
      <c r="N109" s="13" t="s">
        <v>545</v>
      </c>
      <c r="O109" s="13" t="s">
        <v>32</v>
      </c>
      <c r="P109" s="13" t="s">
        <v>32</v>
      </c>
      <c r="Q109" s="14" t="s">
        <v>58</v>
      </c>
      <c r="R109" s="13" t="s">
        <v>33</v>
      </c>
      <c r="S109" s="13" t="s">
        <v>34</v>
      </c>
      <c r="T109" s="15">
        <v>0</v>
      </c>
      <c r="U109" s="13"/>
      <c r="V109" s="15">
        <v>0</v>
      </c>
      <c r="W109" s="13" t="s">
        <v>48</v>
      </c>
      <c r="X109" s="15" t="s">
        <v>36</v>
      </c>
      <c r="Y109" s="13" t="s">
        <v>37</v>
      </c>
    </row>
    <row x14ac:dyDescent="0.25" r="110" customHeight="1" ht="18.75">
      <c r="A110" s="5">
        <v>74020782</v>
      </c>
      <c r="B110" s="6">
        <v>359</v>
      </c>
      <c r="C110" s="7" t="s">
        <v>612</v>
      </c>
      <c r="D110" s="7" t="s">
        <v>613</v>
      </c>
      <c r="E110" s="8">
        <v>74020782</v>
      </c>
      <c r="F110" s="8">
        <v>359</v>
      </c>
      <c r="G110" s="7" t="s">
        <v>27</v>
      </c>
      <c r="H110" s="7" t="s">
        <v>614</v>
      </c>
      <c r="I110" s="7" t="s">
        <v>615</v>
      </c>
      <c r="J110" s="8">
        <f>79280085700</f>
      </c>
      <c r="K110" s="9"/>
      <c r="L110" s="7" t="s">
        <v>117</v>
      </c>
      <c r="M110" s="8">
        <v>210</v>
      </c>
      <c r="N110" s="7" t="s">
        <v>118</v>
      </c>
      <c r="O110" s="7" t="s">
        <v>119</v>
      </c>
      <c r="P110" s="7" t="s">
        <v>616</v>
      </c>
      <c r="Q110" s="8" t="s">
        <v>58</v>
      </c>
      <c r="R110" s="7" t="s">
        <v>33</v>
      </c>
      <c r="S110" s="7" t="s">
        <v>34</v>
      </c>
      <c r="T110" s="10">
        <v>0</v>
      </c>
      <c r="U110" s="7" t="s">
        <v>48</v>
      </c>
      <c r="V110" s="10" t="s">
        <v>64</v>
      </c>
      <c r="W110" s="7" t="s">
        <v>35</v>
      </c>
      <c r="X110" s="10" t="s">
        <v>472</v>
      </c>
      <c r="Y110" s="7" t="s">
        <v>37</v>
      </c>
    </row>
    <row x14ac:dyDescent="0.25" r="111" customHeight="1" ht="18.75">
      <c r="A111" s="11">
        <v>74020784</v>
      </c>
      <c r="B111" s="12">
        <v>360</v>
      </c>
      <c r="C111" s="13" t="s">
        <v>617</v>
      </c>
      <c r="D111" s="13" t="s">
        <v>618</v>
      </c>
      <c r="E111" s="14">
        <v>74020784</v>
      </c>
      <c r="F111" s="14">
        <v>360</v>
      </c>
      <c r="G111" s="13" t="s">
        <v>27</v>
      </c>
      <c r="H111" s="13" t="s">
        <v>619</v>
      </c>
      <c r="I111" s="13" t="s">
        <v>620</v>
      </c>
      <c r="J111" s="14">
        <f>79312579877</f>
      </c>
      <c r="K111" s="9"/>
      <c r="L111" s="13" t="s">
        <v>54</v>
      </c>
      <c r="M111" s="14">
        <v>188</v>
      </c>
      <c r="N111" s="13" t="s">
        <v>55</v>
      </c>
      <c r="O111" s="13" t="s">
        <v>56</v>
      </c>
      <c r="P111" s="13" t="s">
        <v>57</v>
      </c>
      <c r="Q111" s="14" t="s">
        <v>58</v>
      </c>
      <c r="R111" s="13" t="s">
        <v>33</v>
      </c>
      <c r="S111" s="13" t="s">
        <v>34</v>
      </c>
      <c r="T111" s="15">
        <v>0</v>
      </c>
      <c r="U111" s="13"/>
      <c r="V111" s="15">
        <v>0</v>
      </c>
      <c r="W111" s="13" t="s">
        <v>48</v>
      </c>
      <c r="X111" s="15" t="s">
        <v>36</v>
      </c>
      <c r="Y111" s="13" t="s">
        <v>37</v>
      </c>
    </row>
    <row x14ac:dyDescent="0.25" r="112" customHeight="1" ht="18.75">
      <c r="A112" s="5">
        <v>74020789</v>
      </c>
      <c r="B112" s="6">
        <v>363</v>
      </c>
      <c r="C112" s="7" t="s">
        <v>621</v>
      </c>
      <c r="D112" s="7" t="s">
        <v>622</v>
      </c>
      <c r="E112" s="8">
        <v>74020789</v>
      </c>
      <c r="F112" s="8">
        <v>363</v>
      </c>
      <c r="G112" s="7" t="s">
        <v>27</v>
      </c>
      <c r="H112" s="7" t="s">
        <v>623</v>
      </c>
      <c r="I112" s="7" t="s">
        <v>624</v>
      </c>
      <c r="J112" s="8">
        <f>79168720627</f>
      </c>
      <c r="K112" s="9"/>
      <c r="L112" s="7" t="s">
        <v>544</v>
      </c>
      <c r="M112" s="8">
        <v>74</v>
      </c>
      <c r="N112" s="7" t="s">
        <v>545</v>
      </c>
      <c r="O112" s="7" t="s">
        <v>32</v>
      </c>
      <c r="P112" s="7" t="s">
        <v>32</v>
      </c>
      <c r="Q112" s="8" t="s">
        <v>58</v>
      </c>
      <c r="R112" s="7" t="s">
        <v>33</v>
      </c>
      <c r="S112" s="7" t="s">
        <v>34</v>
      </c>
      <c r="T112" s="10">
        <v>0</v>
      </c>
      <c r="U112" s="7" t="s">
        <v>48</v>
      </c>
      <c r="V112" s="10" t="s">
        <v>200</v>
      </c>
      <c r="W112" s="7" t="s">
        <v>35</v>
      </c>
      <c r="X112" s="10" t="s">
        <v>472</v>
      </c>
      <c r="Y112" s="7" t="s">
        <v>37</v>
      </c>
    </row>
    <row x14ac:dyDescent="0.25" r="113" customHeight="1" ht="18.75">
      <c r="A113" s="11">
        <v>74020793</v>
      </c>
      <c r="B113" s="12">
        <v>367</v>
      </c>
      <c r="C113" s="13" t="s">
        <v>625</v>
      </c>
      <c r="D113" s="13" t="s">
        <v>626</v>
      </c>
      <c r="E113" s="14">
        <v>74020793</v>
      </c>
      <c r="F113" s="14">
        <v>367</v>
      </c>
      <c r="G113" s="13" t="s">
        <v>27</v>
      </c>
      <c r="H113" s="13" t="s">
        <v>627</v>
      </c>
      <c r="I113" s="13" t="s">
        <v>628</v>
      </c>
      <c r="J113" s="14">
        <f>79296310034</f>
      </c>
      <c r="K113" s="9"/>
      <c r="L113" s="13" t="s">
        <v>544</v>
      </c>
      <c r="M113" s="14">
        <v>74</v>
      </c>
      <c r="N113" s="13" t="s">
        <v>545</v>
      </c>
      <c r="O113" s="13" t="s">
        <v>32</v>
      </c>
      <c r="P113" s="13" t="s">
        <v>32</v>
      </c>
      <c r="Q113" s="14" t="s">
        <v>58</v>
      </c>
      <c r="R113" s="13" t="s">
        <v>33</v>
      </c>
      <c r="S113" s="13" t="s">
        <v>34</v>
      </c>
      <c r="T113" s="15">
        <v>0</v>
      </c>
      <c r="U113" s="13" t="s">
        <v>48</v>
      </c>
      <c r="V113" s="15" t="s">
        <v>64</v>
      </c>
      <c r="W113" s="13" t="s">
        <v>35</v>
      </c>
      <c r="X113" s="15" t="s">
        <v>472</v>
      </c>
      <c r="Y113" s="13" t="s">
        <v>37</v>
      </c>
    </row>
    <row x14ac:dyDescent="0.25" r="114" customHeight="1" ht="18.75">
      <c r="A114" s="5">
        <v>74020795</v>
      </c>
      <c r="B114" s="6">
        <v>368</v>
      </c>
      <c r="C114" s="7" t="s">
        <v>629</v>
      </c>
      <c r="D114" s="7" t="s">
        <v>630</v>
      </c>
      <c r="E114" s="8">
        <v>74020795</v>
      </c>
      <c r="F114" s="8">
        <v>368</v>
      </c>
      <c r="G114" s="7" t="s">
        <v>27</v>
      </c>
      <c r="H114" s="7" t="s">
        <v>631</v>
      </c>
      <c r="I114" s="7" t="s">
        <v>632</v>
      </c>
      <c r="J114" s="8">
        <f>74957254099</f>
      </c>
      <c r="K114" s="9"/>
      <c r="L114" s="7" t="s">
        <v>30</v>
      </c>
      <c r="M114" s="8">
        <v>56</v>
      </c>
      <c r="N114" s="7" t="s">
        <v>31</v>
      </c>
      <c r="O114" s="7" t="s">
        <v>32</v>
      </c>
      <c r="P114" s="7" t="s">
        <v>32</v>
      </c>
      <c r="Q114" s="8" t="s">
        <v>58</v>
      </c>
      <c r="R114" s="7" t="s">
        <v>33</v>
      </c>
      <c r="S114" s="7" t="s">
        <v>34</v>
      </c>
      <c r="T114" s="10">
        <v>0</v>
      </c>
      <c r="U114" s="7"/>
      <c r="V114" s="10">
        <v>0</v>
      </c>
      <c r="W114" s="7" t="s">
        <v>48</v>
      </c>
      <c r="X114" s="10" t="s">
        <v>36</v>
      </c>
      <c r="Y114" s="7" t="s">
        <v>37</v>
      </c>
    </row>
    <row x14ac:dyDescent="0.25" r="115" customHeight="1" ht="18.75">
      <c r="A115" s="11">
        <v>74020798</v>
      </c>
      <c r="B115" s="12">
        <v>370</v>
      </c>
      <c r="C115" s="13" t="s">
        <v>633</v>
      </c>
      <c r="D115" s="13" t="s">
        <v>634</v>
      </c>
      <c r="E115" s="14">
        <v>74020798</v>
      </c>
      <c r="F115" s="14">
        <v>370</v>
      </c>
      <c r="G115" s="13" t="s">
        <v>27</v>
      </c>
      <c r="H115" s="13" t="s">
        <v>635</v>
      </c>
      <c r="I115" s="13" t="s">
        <v>636</v>
      </c>
      <c r="J115" s="14">
        <f>79636305401</f>
      </c>
      <c r="K115" s="9"/>
      <c r="L115" s="13" t="s">
        <v>30</v>
      </c>
      <c r="M115" s="14">
        <v>56</v>
      </c>
      <c r="N115" s="13" t="s">
        <v>31</v>
      </c>
      <c r="O115" s="13" t="s">
        <v>82</v>
      </c>
      <c r="P115" s="13" t="s">
        <v>637</v>
      </c>
      <c r="Q115" s="14" t="s">
        <v>638</v>
      </c>
      <c r="R115" s="13" t="s">
        <v>33</v>
      </c>
      <c r="S115" s="13" t="s">
        <v>34</v>
      </c>
      <c r="T115" s="15">
        <v>0</v>
      </c>
      <c r="U115" s="13"/>
      <c r="V115" s="15">
        <v>0</v>
      </c>
      <c r="W115" s="13" t="s">
        <v>48</v>
      </c>
      <c r="X115" s="15" t="s">
        <v>65</v>
      </c>
      <c r="Y115" s="13" t="s">
        <v>37</v>
      </c>
    </row>
    <row x14ac:dyDescent="0.25" r="116" customHeight="1" ht="18.75">
      <c r="A116" s="5">
        <v>74020799</v>
      </c>
      <c r="B116" s="6">
        <v>371</v>
      </c>
      <c r="C116" s="7" t="s">
        <v>639</v>
      </c>
      <c r="D116" s="7" t="s">
        <v>640</v>
      </c>
      <c r="E116" s="8">
        <v>74020799</v>
      </c>
      <c r="F116" s="8">
        <v>371</v>
      </c>
      <c r="G116" s="7" t="s">
        <v>27</v>
      </c>
      <c r="H116" s="7" t="s">
        <v>641</v>
      </c>
      <c r="I116" s="7" t="s">
        <v>642</v>
      </c>
      <c r="J116" s="8">
        <f>79636308624</f>
      </c>
      <c r="K116" s="9"/>
      <c r="L116" s="7" t="s">
        <v>30</v>
      </c>
      <c r="M116" s="8">
        <v>56</v>
      </c>
      <c r="N116" s="7" t="s">
        <v>31</v>
      </c>
      <c r="O116" s="7" t="s">
        <v>32</v>
      </c>
      <c r="P116" s="7" t="s">
        <v>32</v>
      </c>
      <c r="Q116" s="8" t="s">
        <v>58</v>
      </c>
      <c r="R116" s="7" t="s">
        <v>33</v>
      </c>
      <c r="S116" s="7" t="s">
        <v>34</v>
      </c>
      <c r="T116" s="10">
        <v>0</v>
      </c>
      <c r="U116" s="7"/>
      <c r="V116" s="10">
        <v>0</v>
      </c>
      <c r="W116" s="7" t="s">
        <v>48</v>
      </c>
      <c r="X116" s="10" t="s">
        <v>36</v>
      </c>
      <c r="Y116" s="7" t="s">
        <v>84</v>
      </c>
    </row>
    <row x14ac:dyDescent="0.25" r="117" customHeight="1" ht="18.75">
      <c r="A117" s="11">
        <v>74020802</v>
      </c>
      <c r="B117" s="12">
        <v>374</v>
      </c>
      <c r="C117" s="13" t="s">
        <v>643</v>
      </c>
      <c r="D117" s="13" t="s">
        <v>644</v>
      </c>
      <c r="E117" s="14">
        <v>74020802</v>
      </c>
      <c r="F117" s="14">
        <v>374</v>
      </c>
      <c r="G117" s="13" t="s">
        <v>27</v>
      </c>
      <c r="H117" s="13" t="s">
        <v>645</v>
      </c>
      <c r="I117" s="13" t="s">
        <v>646</v>
      </c>
      <c r="J117" s="14">
        <f>74951980973</f>
      </c>
      <c r="K117" s="9"/>
      <c r="L117" s="13" t="s">
        <v>80</v>
      </c>
      <c r="M117" s="14">
        <v>235</v>
      </c>
      <c r="N117" s="13" t="s">
        <v>564</v>
      </c>
      <c r="O117" s="13" t="s">
        <v>32</v>
      </c>
      <c r="P117" s="13" t="s">
        <v>32</v>
      </c>
      <c r="Q117" s="14" t="s">
        <v>58</v>
      </c>
      <c r="R117" s="13" t="s">
        <v>33</v>
      </c>
      <c r="S117" s="13" t="s">
        <v>34</v>
      </c>
      <c r="T117" s="15">
        <v>0</v>
      </c>
      <c r="U117" s="13" t="s">
        <v>48</v>
      </c>
      <c r="V117" s="15" t="s">
        <v>64</v>
      </c>
      <c r="W117" s="13" t="s">
        <v>35</v>
      </c>
      <c r="X117" s="15" t="s">
        <v>472</v>
      </c>
      <c r="Y117" s="13" t="s">
        <v>37</v>
      </c>
    </row>
    <row x14ac:dyDescent="0.25" r="118" customHeight="1" ht="18.75">
      <c r="A118" s="5">
        <v>74020808</v>
      </c>
      <c r="B118" s="6">
        <v>379</v>
      </c>
      <c r="C118" s="7" t="s">
        <v>647</v>
      </c>
      <c r="D118" s="7" t="s">
        <v>648</v>
      </c>
      <c r="E118" s="8">
        <v>74020808</v>
      </c>
      <c r="F118" s="8">
        <v>379</v>
      </c>
      <c r="G118" s="7" t="s">
        <v>27</v>
      </c>
      <c r="H118" s="7" t="s">
        <v>649</v>
      </c>
      <c r="I118" s="7" t="s">
        <v>650</v>
      </c>
      <c r="J118" s="8">
        <f>79636308644</f>
      </c>
      <c r="K118" s="9"/>
      <c r="L118" s="7" t="s">
        <v>30</v>
      </c>
      <c r="M118" s="8">
        <v>56</v>
      </c>
      <c r="N118" s="7" t="s">
        <v>31</v>
      </c>
      <c r="O118" s="7" t="s">
        <v>82</v>
      </c>
      <c r="P118" s="7" t="s">
        <v>651</v>
      </c>
      <c r="Q118" s="8" t="s">
        <v>652</v>
      </c>
      <c r="R118" s="7" t="s">
        <v>33</v>
      </c>
      <c r="S118" s="7" t="s">
        <v>34</v>
      </c>
      <c r="T118" s="10">
        <v>0</v>
      </c>
      <c r="U118" s="7" t="s">
        <v>48</v>
      </c>
      <c r="V118" s="10" t="s">
        <v>64</v>
      </c>
      <c r="W118" s="7" t="s">
        <v>48</v>
      </c>
      <c r="X118" s="10" t="s">
        <v>65</v>
      </c>
      <c r="Y118" s="7" t="s">
        <v>59</v>
      </c>
    </row>
    <row x14ac:dyDescent="0.25" r="119" customHeight="1" ht="18.75">
      <c r="A119" s="11">
        <v>74020809</v>
      </c>
      <c r="B119" s="12">
        <v>380</v>
      </c>
      <c r="C119" s="13" t="s">
        <v>653</v>
      </c>
      <c r="D119" s="13" t="s">
        <v>654</v>
      </c>
      <c r="E119" s="14">
        <v>74020809</v>
      </c>
      <c r="F119" s="14">
        <v>380</v>
      </c>
      <c r="G119" s="13" t="s">
        <v>27</v>
      </c>
      <c r="H119" s="13" t="s">
        <v>655</v>
      </c>
      <c r="I119" s="13" t="s">
        <v>656</v>
      </c>
      <c r="J119" s="14">
        <f>73852557877</f>
      </c>
      <c r="K119" s="9"/>
      <c r="L119" s="13" t="s">
        <v>71</v>
      </c>
      <c r="M119" s="14">
        <v>51</v>
      </c>
      <c r="N119" s="13" t="s">
        <v>657</v>
      </c>
      <c r="O119" s="13" t="s">
        <v>73</v>
      </c>
      <c r="P119" s="13" t="s">
        <v>74</v>
      </c>
      <c r="Q119" s="14" t="s">
        <v>654</v>
      </c>
      <c r="R119" s="13" t="s">
        <v>33</v>
      </c>
      <c r="S119" s="13" t="s">
        <v>34</v>
      </c>
      <c r="T119" s="15">
        <v>0</v>
      </c>
      <c r="U119" s="13" t="s">
        <v>48</v>
      </c>
      <c r="V119" s="15" t="s">
        <v>214</v>
      </c>
      <c r="W119" s="13" t="s">
        <v>48</v>
      </c>
      <c r="X119" s="15" t="s">
        <v>36</v>
      </c>
      <c r="Y119" s="13" t="s">
        <v>37</v>
      </c>
    </row>
    <row x14ac:dyDescent="0.25" r="120" customHeight="1" ht="18.75">
      <c r="A120" s="5">
        <v>74020810</v>
      </c>
      <c r="B120" s="6">
        <v>381</v>
      </c>
      <c r="C120" s="7" t="s">
        <v>658</v>
      </c>
      <c r="D120" s="7" t="s">
        <v>659</v>
      </c>
      <c r="E120" s="8">
        <v>74020810</v>
      </c>
      <c r="F120" s="8">
        <v>381</v>
      </c>
      <c r="G120" s="7" t="s">
        <v>27</v>
      </c>
      <c r="H120" s="7" t="s">
        <v>660</v>
      </c>
      <c r="I120" s="7" t="s">
        <v>661</v>
      </c>
      <c r="J120" s="8">
        <f>79306948809</f>
      </c>
      <c r="K120" s="9"/>
      <c r="L120" s="7" t="s">
        <v>54</v>
      </c>
      <c r="M120" s="8">
        <v>188</v>
      </c>
      <c r="N120" s="7" t="s">
        <v>55</v>
      </c>
      <c r="O120" s="7" t="s">
        <v>44</v>
      </c>
      <c r="P120" s="7" t="s">
        <v>89</v>
      </c>
      <c r="Q120" s="8" t="s">
        <v>58</v>
      </c>
      <c r="R120" s="7" t="s">
        <v>33</v>
      </c>
      <c r="S120" s="7" t="s">
        <v>34</v>
      </c>
      <c r="T120" s="10">
        <v>0</v>
      </c>
      <c r="U120" s="7"/>
      <c r="V120" s="10">
        <v>0</v>
      </c>
      <c r="W120" s="7" t="s">
        <v>48</v>
      </c>
      <c r="X120" s="10" t="s">
        <v>36</v>
      </c>
      <c r="Y120" s="7" t="s">
        <v>126</v>
      </c>
    </row>
    <row x14ac:dyDescent="0.25" r="121" customHeight="1" ht="18.75">
      <c r="A121" s="11">
        <v>74020814</v>
      </c>
      <c r="B121" s="12">
        <v>385</v>
      </c>
      <c r="C121" s="13" t="s">
        <v>662</v>
      </c>
      <c r="D121" s="13" t="s">
        <v>663</v>
      </c>
      <c r="E121" s="14">
        <v>74020814</v>
      </c>
      <c r="F121" s="14">
        <v>385</v>
      </c>
      <c r="G121" s="13" t="s">
        <v>27</v>
      </c>
      <c r="H121" s="13" t="s">
        <v>664</v>
      </c>
      <c r="I121" s="13" t="s">
        <v>665</v>
      </c>
      <c r="J121" s="14">
        <f>79109180046</f>
      </c>
      <c r="K121" s="9"/>
      <c r="L121" s="13" t="s">
        <v>230</v>
      </c>
      <c r="M121" s="14">
        <v>100474</v>
      </c>
      <c r="N121" s="13" t="s">
        <v>666</v>
      </c>
      <c r="O121" s="13" t="s">
        <v>232</v>
      </c>
      <c r="P121" s="13" t="s">
        <v>667</v>
      </c>
      <c r="Q121" s="14" t="s">
        <v>663</v>
      </c>
      <c r="R121" s="13" t="s">
        <v>33</v>
      </c>
      <c r="S121" s="13" t="s">
        <v>34</v>
      </c>
      <c r="T121" s="15">
        <v>0</v>
      </c>
      <c r="U121" s="13" t="s">
        <v>48</v>
      </c>
      <c r="V121" s="15" t="s">
        <v>214</v>
      </c>
      <c r="W121" s="13" t="s">
        <v>48</v>
      </c>
      <c r="X121" s="15" t="s">
        <v>36</v>
      </c>
      <c r="Y121" s="13" t="s">
        <v>37</v>
      </c>
    </row>
    <row x14ac:dyDescent="0.25" r="122" customHeight="1" ht="18.75">
      <c r="A122" s="5">
        <v>74020815</v>
      </c>
      <c r="B122" s="6">
        <v>386</v>
      </c>
      <c r="C122" s="7" t="s">
        <v>668</v>
      </c>
      <c r="D122" s="7" t="s">
        <v>669</v>
      </c>
      <c r="E122" s="8">
        <v>74020815</v>
      </c>
      <c r="F122" s="8">
        <v>386</v>
      </c>
      <c r="G122" s="7" t="s">
        <v>27</v>
      </c>
      <c r="H122" s="7" t="s">
        <v>670</v>
      </c>
      <c r="I122" s="7" t="s">
        <v>671</v>
      </c>
      <c r="J122" s="8">
        <f>79217520248</f>
      </c>
      <c r="K122" s="9"/>
      <c r="L122" s="7" t="s">
        <v>54</v>
      </c>
      <c r="M122" s="8">
        <v>188</v>
      </c>
      <c r="N122" s="7" t="s">
        <v>55</v>
      </c>
      <c r="O122" s="7" t="s">
        <v>56</v>
      </c>
      <c r="P122" s="7" t="s">
        <v>57</v>
      </c>
      <c r="Q122" s="8" t="s">
        <v>58</v>
      </c>
      <c r="R122" s="7" t="s">
        <v>33</v>
      </c>
      <c r="S122" s="7" t="s">
        <v>34</v>
      </c>
      <c r="T122" s="10">
        <v>0</v>
      </c>
      <c r="U122" s="7"/>
      <c r="V122" s="10">
        <v>0</v>
      </c>
      <c r="W122" s="7" t="s">
        <v>35</v>
      </c>
      <c r="X122" s="10" t="s">
        <v>36</v>
      </c>
      <c r="Y122" s="7" t="s">
        <v>59</v>
      </c>
    </row>
    <row x14ac:dyDescent="0.25" r="123" customHeight="1" ht="18.75">
      <c r="A123" s="11">
        <v>74020816</v>
      </c>
      <c r="B123" s="12">
        <v>387</v>
      </c>
      <c r="C123" s="13" t="s">
        <v>672</v>
      </c>
      <c r="D123" s="13" t="s">
        <v>673</v>
      </c>
      <c r="E123" s="14">
        <v>74020816</v>
      </c>
      <c r="F123" s="14">
        <v>387</v>
      </c>
      <c r="G123" s="13" t="s">
        <v>27</v>
      </c>
      <c r="H123" s="13" t="s">
        <v>674</v>
      </c>
      <c r="I123" s="13" t="s">
        <v>675</v>
      </c>
      <c r="J123" s="14">
        <f>79218975512</f>
      </c>
      <c r="K123" s="9"/>
      <c r="L123" s="13" t="s">
        <v>54</v>
      </c>
      <c r="M123" s="14">
        <v>188</v>
      </c>
      <c r="N123" s="13" t="s">
        <v>55</v>
      </c>
      <c r="O123" s="13" t="s">
        <v>56</v>
      </c>
      <c r="P123" s="13" t="s">
        <v>57</v>
      </c>
      <c r="Q123" s="14" t="s">
        <v>676</v>
      </c>
      <c r="R123" s="13" t="s">
        <v>33</v>
      </c>
      <c r="S123" s="13" t="s">
        <v>34</v>
      </c>
      <c r="T123" s="15">
        <v>0</v>
      </c>
      <c r="U123" s="13" t="s">
        <v>35</v>
      </c>
      <c r="V123" s="15" t="s">
        <v>64</v>
      </c>
      <c r="W123" s="13" t="s">
        <v>48</v>
      </c>
      <c r="X123" s="15" t="s">
        <v>36</v>
      </c>
      <c r="Y123" s="13" t="s">
        <v>37</v>
      </c>
    </row>
    <row x14ac:dyDescent="0.25" r="124" customHeight="1" ht="18.75">
      <c r="A124" s="5">
        <v>74020817</v>
      </c>
      <c r="B124" s="6">
        <v>388</v>
      </c>
      <c r="C124" s="7" t="s">
        <v>677</v>
      </c>
      <c r="D124" s="7" t="s">
        <v>678</v>
      </c>
      <c r="E124" s="8">
        <v>74020817</v>
      </c>
      <c r="F124" s="8">
        <v>388</v>
      </c>
      <c r="G124" s="7" t="s">
        <v>27</v>
      </c>
      <c r="H124" s="7" t="s">
        <v>679</v>
      </c>
      <c r="I124" s="7" t="s">
        <v>680</v>
      </c>
      <c r="J124" s="8">
        <f>79053773638</f>
      </c>
      <c r="K124" s="9"/>
      <c r="L124" s="7" t="s">
        <v>54</v>
      </c>
      <c r="M124" s="8">
        <v>188</v>
      </c>
      <c r="N124" s="7" t="s">
        <v>55</v>
      </c>
      <c r="O124" s="7" t="s">
        <v>44</v>
      </c>
      <c r="P124" s="7" t="s">
        <v>292</v>
      </c>
      <c r="Q124" s="8" t="s">
        <v>182</v>
      </c>
      <c r="R124" s="7" t="s">
        <v>33</v>
      </c>
      <c r="S124" s="7" t="s">
        <v>34</v>
      </c>
      <c r="T124" s="10">
        <v>0</v>
      </c>
      <c r="U124" s="7"/>
      <c r="V124" s="10">
        <v>0</v>
      </c>
      <c r="W124" s="7" t="s">
        <v>48</v>
      </c>
      <c r="X124" s="10" t="s">
        <v>65</v>
      </c>
      <c r="Y124" s="7" t="s">
        <v>59</v>
      </c>
    </row>
    <row x14ac:dyDescent="0.25" r="125" customHeight="1" ht="18.75">
      <c r="A125" s="11">
        <v>74020828</v>
      </c>
      <c r="B125" s="12">
        <v>397</v>
      </c>
      <c r="C125" s="13" t="s">
        <v>681</v>
      </c>
      <c r="D125" s="13" t="s">
        <v>682</v>
      </c>
      <c r="E125" s="14">
        <v>74020828</v>
      </c>
      <c r="F125" s="14">
        <v>397</v>
      </c>
      <c r="G125" s="13" t="s">
        <v>27</v>
      </c>
      <c r="H125" s="13" t="s">
        <v>683</v>
      </c>
      <c r="I125" s="13" t="s">
        <v>684</v>
      </c>
      <c r="J125" s="14">
        <f>74993466489</f>
      </c>
      <c r="K125" s="9"/>
      <c r="L125" s="13" t="s">
        <v>131</v>
      </c>
      <c r="M125" s="14">
        <v>66</v>
      </c>
      <c r="N125" s="13" t="s">
        <v>132</v>
      </c>
      <c r="O125" s="13" t="s">
        <v>32</v>
      </c>
      <c r="P125" s="13" t="s">
        <v>32</v>
      </c>
      <c r="Q125" s="14" t="s">
        <v>685</v>
      </c>
      <c r="R125" s="13" t="s">
        <v>33</v>
      </c>
      <c r="S125" s="13" t="s">
        <v>34</v>
      </c>
      <c r="T125" s="15">
        <v>0</v>
      </c>
      <c r="U125" s="13" t="s">
        <v>48</v>
      </c>
      <c r="V125" s="15" t="s">
        <v>214</v>
      </c>
      <c r="W125" s="13" t="s">
        <v>48</v>
      </c>
      <c r="X125" s="15" t="s">
        <v>36</v>
      </c>
      <c r="Y125" s="13" t="s">
        <v>37</v>
      </c>
    </row>
    <row x14ac:dyDescent="0.25" r="126" customHeight="1" ht="18.75">
      <c r="A126" s="5">
        <v>74020836</v>
      </c>
      <c r="B126" s="6">
        <v>402</v>
      </c>
      <c r="C126" s="7" t="s">
        <v>686</v>
      </c>
      <c r="D126" s="7" t="s">
        <v>687</v>
      </c>
      <c r="E126" s="8">
        <v>74020836</v>
      </c>
      <c r="F126" s="8">
        <v>402</v>
      </c>
      <c r="G126" s="7" t="s">
        <v>27</v>
      </c>
      <c r="H126" s="7" t="s">
        <v>688</v>
      </c>
      <c r="I126" s="7" t="s">
        <v>689</v>
      </c>
      <c r="J126" s="8">
        <f>74993228128</f>
      </c>
      <c r="K126" s="9"/>
      <c r="L126" s="7" t="s">
        <v>131</v>
      </c>
      <c r="M126" s="8">
        <v>69</v>
      </c>
      <c r="N126" s="7" t="s">
        <v>690</v>
      </c>
      <c r="O126" s="7" t="s">
        <v>32</v>
      </c>
      <c r="P126" s="7" t="s">
        <v>32</v>
      </c>
      <c r="Q126" s="8" t="s">
        <v>691</v>
      </c>
      <c r="R126" s="7" t="s">
        <v>33</v>
      </c>
      <c r="S126" s="7" t="s">
        <v>34</v>
      </c>
      <c r="T126" s="10">
        <v>0</v>
      </c>
      <c r="U126" s="7" t="s">
        <v>48</v>
      </c>
      <c r="V126" s="10" t="s">
        <v>64</v>
      </c>
      <c r="W126" s="7" t="s">
        <v>48</v>
      </c>
      <c r="X126" s="10" t="s">
        <v>36</v>
      </c>
      <c r="Y126" s="7" t="s">
        <v>37</v>
      </c>
    </row>
    <row x14ac:dyDescent="0.25" r="127" customHeight="1" ht="18.75">
      <c r="A127" s="11">
        <v>74020837</v>
      </c>
      <c r="B127" s="12">
        <v>403</v>
      </c>
      <c r="C127" s="13" t="s">
        <v>692</v>
      </c>
      <c r="D127" s="13" t="s">
        <v>693</v>
      </c>
      <c r="E127" s="14">
        <v>74020837</v>
      </c>
      <c r="F127" s="14">
        <v>403</v>
      </c>
      <c r="G127" s="13" t="s">
        <v>27</v>
      </c>
      <c r="H127" s="13" t="s">
        <v>694</v>
      </c>
      <c r="I127" s="13" t="s">
        <v>695</v>
      </c>
      <c r="J127" s="14">
        <f>79852261531</f>
      </c>
      <c r="K127" s="9"/>
      <c r="L127" s="13" t="s">
        <v>266</v>
      </c>
      <c r="M127" s="14">
        <v>226</v>
      </c>
      <c r="N127" s="13" t="s">
        <v>696</v>
      </c>
      <c r="O127" s="13" t="s">
        <v>32</v>
      </c>
      <c r="P127" s="13" t="s">
        <v>32</v>
      </c>
      <c r="Q127" s="14" t="s">
        <v>697</v>
      </c>
      <c r="R127" s="13" t="s">
        <v>33</v>
      </c>
      <c r="S127" s="13" t="s">
        <v>34</v>
      </c>
      <c r="T127" s="15">
        <v>0</v>
      </c>
      <c r="U127" s="13" t="s">
        <v>48</v>
      </c>
      <c r="V127" s="15" t="s">
        <v>214</v>
      </c>
      <c r="W127" s="13" t="s">
        <v>48</v>
      </c>
      <c r="X127" s="15" t="s">
        <v>36</v>
      </c>
      <c r="Y127" s="13" t="s">
        <v>37</v>
      </c>
    </row>
    <row x14ac:dyDescent="0.25" r="128" customHeight="1" ht="18.75">
      <c r="A128" s="5">
        <v>74020849</v>
      </c>
      <c r="B128" s="6">
        <v>413</v>
      </c>
      <c r="C128" s="7" t="s">
        <v>698</v>
      </c>
      <c r="D128" s="7" t="s">
        <v>699</v>
      </c>
      <c r="E128" s="8">
        <v>74020849</v>
      </c>
      <c r="F128" s="8">
        <v>413</v>
      </c>
      <c r="G128" s="7" t="s">
        <v>27</v>
      </c>
      <c r="H128" s="7" t="s">
        <v>700</v>
      </c>
      <c r="I128" s="7" t="s">
        <v>701</v>
      </c>
      <c r="J128" s="8">
        <f>78452659938</f>
      </c>
      <c r="K128" s="9"/>
      <c r="L128" s="7" t="s">
        <v>327</v>
      </c>
      <c r="M128" s="8">
        <v>100623</v>
      </c>
      <c r="N128" s="7" t="s">
        <v>328</v>
      </c>
      <c r="O128" s="7" t="s">
        <v>44</v>
      </c>
      <c r="P128" s="7" t="s">
        <v>329</v>
      </c>
      <c r="Q128" s="8" t="s">
        <v>702</v>
      </c>
      <c r="R128" s="7" t="s">
        <v>33</v>
      </c>
      <c r="S128" s="7" t="s">
        <v>34</v>
      </c>
      <c r="T128" s="10">
        <v>0</v>
      </c>
      <c r="U128" s="7" t="s">
        <v>48</v>
      </c>
      <c r="V128" s="10" t="s">
        <v>214</v>
      </c>
      <c r="W128" s="7" t="s">
        <v>48</v>
      </c>
      <c r="X128" s="10" t="s">
        <v>36</v>
      </c>
      <c r="Y128" s="7" t="s">
        <v>59</v>
      </c>
    </row>
    <row x14ac:dyDescent="0.25" r="129" customHeight="1" ht="18.75">
      <c r="A129" s="11">
        <v>74020851</v>
      </c>
      <c r="B129" s="12">
        <v>414</v>
      </c>
      <c r="C129" s="13" t="s">
        <v>703</v>
      </c>
      <c r="D129" s="13" t="s">
        <v>704</v>
      </c>
      <c r="E129" s="14">
        <v>74020851</v>
      </c>
      <c r="F129" s="14">
        <v>414</v>
      </c>
      <c r="G129" s="13" t="s">
        <v>27</v>
      </c>
      <c r="H129" s="13" t="s">
        <v>705</v>
      </c>
      <c r="I129" s="13" t="s">
        <v>706</v>
      </c>
      <c r="J129" s="14">
        <f>73532540444</f>
      </c>
      <c r="K129" s="14">
        <v>1017</v>
      </c>
      <c r="L129" s="13" t="s">
        <v>94</v>
      </c>
      <c r="M129" s="14">
        <v>100133</v>
      </c>
      <c r="N129" s="13" t="s">
        <v>707</v>
      </c>
      <c r="O129" s="13" t="s">
        <v>96</v>
      </c>
      <c r="P129" s="13" t="s">
        <v>220</v>
      </c>
      <c r="Q129" s="14" t="s">
        <v>58</v>
      </c>
      <c r="R129" s="13" t="s">
        <v>33</v>
      </c>
      <c r="S129" s="13" t="s">
        <v>34</v>
      </c>
      <c r="T129" s="15">
        <v>0</v>
      </c>
      <c r="U129" s="13" t="s">
        <v>48</v>
      </c>
      <c r="V129" s="15" t="s">
        <v>64</v>
      </c>
      <c r="W129" s="13" t="s">
        <v>48</v>
      </c>
      <c r="X129" s="15" t="s">
        <v>65</v>
      </c>
      <c r="Y129" s="13" t="s">
        <v>37</v>
      </c>
    </row>
    <row x14ac:dyDescent="0.25" r="130" customHeight="1" ht="18.75">
      <c r="A130" s="5">
        <v>74020852</v>
      </c>
      <c r="B130" s="6">
        <v>416</v>
      </c>
      <c r="C130" s="7" t="s">
        <v>708</v>
      </c>
      <c r="D130" s="7" t="s">
        <v>709</v>
      </c>
      <c r="E130" s="8">
        <v>74020852</v>
      </c>
      <c r="F130" s="8">
        <v>416</v>
      </c>
      <c r="G130" s="7" t="s">
        <v>27</v>
      </c>
      <c r="H130" s="7" t="s">
        <v>710</v>
      </c>
      <c r="I130" s="7" t="s">
        <v>711</v>
      </c>
      <c r="J130" s="8">
        <f>79160792837</f>
      </c>
      <c r="K130" s="9"/>
      <c r="L130" s="7" t="s">
        <v>544</v>
      </c>
      <c r="M130" s="8">
        <v>74</v>
      </c>
      <c r="N130" s="7" t="s">
        <v>545</v>
      </c>
      <c r="O130" s="7" t="s">
        <v>32</v>
      </c>
      <c r="P130" s="7" t="s">
        <v>32</v>
      </c>
      <c r="Q130" s="8" t="s">
        <v>58</v>
      </c>
      <c r="R130" s="7" t="s">
        <v>33</v>
      </c>
      <c r="S130" s="7" t="s">
        <v>34</v>
      </c>
      <c r="T130" s="10">
        <v>0</v>
      </c>
      <c r="U130" s="7" t="s">
        <v>48</v>
      </c>
      <c r="V130" s="10" t="s">
        <v>64</v>
      </c>
      <c r="W130" s="7" t="s">
        <v>35</v>
      </c>
      <c r="X130" s="10" t="s">
        <v>712</v>
      </c>
      <c r="Y130" s="7" t="s">
        <v>37</v>
      </c>
    </row>
    <row x14ac:dyDescent="0.25" r="131" customHeight="1" ht="18.75">
      <c r="A131" s="11">
        <v>74020861</v>
      </c>
      <c r="B131" s="12">
        <v>421</v>
      </c>
      <c r="C131" s="13" t="s">
        <v>713</v>
      </c>
      <c r="D131" s="13" t="s">
        <v>714</v>
      </c>
      <c r="E131" s="14">
        <v>74020861</v>
      </c>
      <c r="F131" s="14">
        <v>421</v>
      </c>
      <c r="G131" s="13" t="s">
        <v>27</v>
      </c>
      <c r="H131" s="13" t="s">
        <v>715</v>
      </c>
      <c r="I131" s="13" t="s">
        <v>716</v>
      </c>
      <c r="J131" s="14">
        <f>79218975768</f>
      </c>
      <c r="K131" s="9"/>
      <c r="L131" s="13" t="s">
        <v>54</v>
      </c>
      <c r="M131" s="14">
        <v>188</v>
      </c>
      <c r="N131" s="13" t="s">
        <v>55</v>
      </c>
      <c r="O131" s="13" t="s">
        <v>56</v>
      </c>
      <c r="P131" s="13" t="s">
        <v>57</v>
      </c>
      <c r="Q131" s="14" t="s">
        <v>58</v>
      </c>
      <c r="R131" s="13" t="s">
        <v>33</v>
      </c>
      <c r="S131" s="13" t="s">
        <v>34</v>
      </c>
      <c r="T131" s="15">
        <v>0</v>
      </c>
      <c r="U131" s="13"/>
      <c r="V131" s="15">
        <v>0</v>
      </c>
      <c r="W131" s="13" t="s">
        <v>48</v>
      </c>
      <c r="X131" s="15" t="s">
        <v>36</v>
      </c>
      <c r="Y131" s="13" t="s">
        <v>84</v>
      </c>
    </row>
    <row x14ac:dyDescent="0.25" r="132" customHeight="1" ht="18.75">
      <c r="A132" s="5">
        <v>74020864</v>
      </c>
      <c r="B132" s="6">
        <v>424</v>
      </c>
      <c r="C132" s="7" t="s">
        <v>717</v>
      </c>
      <c r="D132" s="7" t="s">
        <v>718</v>
      </c>
      <c r="E132" s="8">
        <v>74020864</v>
      </c>
      <c r="F132" s="8">
        <v>424</v>
      </c>
      <c r="G132" s="7" t="s">
        <v>27</v>
      </c>
      <c r="H132" s="7" t="s">
        <v>719</v>
      </c>
      <c r="I132" s="7" t="s">
        <v>720</v>
      </c>
      <c r="J132" s="8">
        <f>74232302332</f>
      </c>
      <c r="K132" s="9"/>
      <c r="L132" s="7" t="s">
        <v>721</v>
      </c>
      <c r="M132" s="8">
        <v>55</v>
      </c>
      <c r="N132" s="7" t="s">
        <v>722</v>
      </c>
      <c r="O132" s="7" t="s">
        <v>723</v>
      </c>
      <c r="P132" s="7" t="s">
        <v>724</v>
      </c>
      <c r="Q132" s="8" t="s">
        <v>725</v>
      </c>
      <c r="R132" s="7" t="s">
        <v>33</v>
      </c>
      <c r="S132" s="7" t="s">
        <v>34</v>
      </c>
      <c r="T132" s="10">
        <v>0</v>
      </c>
      <c r="U132" s="7"/>
      <c r="V132" s="10">
        <v>0</v>
      </c>
      <c r="W132" s="7" t="s">
        <v>48</v>
      </c>
      <c r="X132" s="10" t="s">
        <v>36</v>
      </c>
      <c r="Y132" s="7" t="s">
        <v>37</v>
      </c>
    </row>
    <row x14ac:dyDescent="0.25" r="133" customHeight="1" ht="18.75">
      <c r="A133" s="11">
        <v>74020865</v>
      </c>
      <c r="B133" s="12">
        <v>425</v>
      </c>
      <c r="C133" s="13" t="s">
        <v>726</v>
      </c>
      <c r="D133" s="13" t="s">
        <v>727</v>
      </c>
      <c r="E133" s="14">
        <v>74020865</v>
      </c>
      <c r="F133" s="14">
        <v>425</v>
      </c>
      <c r="G133" s="13" t="s">
        <v>27</v>
      </c>
      <c r="H133" s="13" t="s">
        <v>728</v>
      </c>
      <c r="I133" s="13" t="s">
        <v>729</v>
      </c>
      <c r="J133" s="14">
        <f>73842452365</f>
      </c>
      <c r="K133" s="9"/>
      <c r="L133" s="13" t="s">
        <v>415</v>
      </c>
      <c r="M133" s="14">
        <v>157</v>
      </c>
      <c r="N133" s="13" t="s">
        <v>416</v>
      </c>
      <c r="O133" s="13" t="s">
        <v>73</v>
      </c>
      <c r="P133" s="13" t="s">
        <v>417</v>
      </c>
      <c r="Q133" s="14" t="s">
        <v>730</v>
      </c>
      <c r="R133" s="13" t="s">
        <v>33</v>
      </c>
      <c r="S133" s="13" t="s">
        <v>34</v>
      </c>
      <c r="T133" s="15">
        <v>0</v>
      </c>
      <c r="U133" s="13" t="s">
        <v>48</v>
      </c>
      <c r="V133" s="15" t="s">
        <v>214</v>
      </c>
      <c r="W133" s="13" t="s">
        <v>48</v>
      </c>
      <c r="X133" s="15" t="s">
        <v>36</v>
      </c>
      <c r="Y133" s="13" t="s">
        <v>37</v>
      </c>
    </row>
    <row x14ac:dyDescent="0.25" r="134" customHeight="1" ht="18.75">
      <c r="A134" s="5">
        <v>74020871</v>
      </c>
      <c r="B134" s="6">
        <v>428</v>
      </c>
      <c r="C134" s="7" t="s">
        <v>731</v>
      </c>
      <c r="D134" s="7" t="s">
        <v>732</v>
      </c>
      <c r="E134" s="8">
        <v>74020871</v>
      </c>
      <c r="F134" s="8">
        <v>428</v>
      </c>
      <c r="G134" s="7" t="s">
        <v>27</v>
      </c>
      <c r="H134" s="7" t="s">
        <v>733</v>
      </c>
      <c r="I134" s="7" t="s">
        <v>734</v>
      </c>
      <c r="J134" s="8">
        <f>74953198531</f>
      </c>
      <c r="K134" s="9"/>
      <c r="L134" s="7" t="s">
        <v>266</v>
      </c>
      <c r="M134" s="8">
        <v>229</v>
      </c>
      <c r="N134" s="7" t="s">
        <v>735</v>
      </c>
      <c r="O134" s="7" t="s">
        <v>32</v>
      </c>
      <c r="P134" s="7" t="s">
        <v>32</v>
      </c>
      <c r="Q134" s="8" t="s">
        <v>736</v>
      </c>
      <c r="R134" s="7" t="s">
        <v>33</v>
      </c>
      <c r="S134" s="7" t="s">
        <v>34</v>
      </c>
      <c r="T134" s="10">
        <v>0</v>
      </c>
      <c r="U134" s="7" t="s">
        <v>48</v>
      </c>
      <c r="V134" s="10" t="s">
        <v>214</v>
      </c>
      <c r="W134" s="7" t="s">
        <v>48</v>
      </c>
      <c r="X134" s="10" t="s">
        <v>36</v>
      </c>
      <c r="Y134" s="7" t="s">
        <v>37</v>
      </c>
    </row>
    <row x14ac:dyDescent="0.25" r="135" customHeight="1" ht="18.75">
      <c r="A135" s="11">
        <v>74020877</v>
      </c>
      <c r="B135" s="12">
        <v>434</v>
      </c>
      <c r="C135" s="13" t="s">
        <v>737</v>
      </c>
      <c r="D135" s="13" t="s">
        <v>738</v>
      </c>
      <c r="E135" s="14">
        <v>74020877</v>
      </c>
      <c r="F135" s="14">
        <v>434</v>
      </c>
      <c r="G135" s="13" t="s">
        <v>27</v>
      </c>
      <c r="H135" s="13" t="s">
        <v>739</v>
      </c>
      <c r="I135" s="13" t="s">
        <v>740</v>
      </c>
      <c r="J135" s="14">
        <f>79218975532</f>
      </c>
      <c r="K135" s="9"/>
      <c r="L135" s="13" t="s">
        <v>54</v>
      </c>
      <c r="M135" s="14">
        <v>188</v>
      </c>
      <c r="N135" s="13" t="s">
        <v>55</v>
      </c>
      <c r="O135" s="13" t="s">
        <v>56</v>
      </c>
      <c r="P135" s="13" t="s">
        <v>57</v>
      </c>
      <c r="Q135" s="14" t="s">
        <v>741</v>
      </c>
      <c r="R135" s="13" t="s">
        <v>33</v>
      </c>
      <c r="S135" s="13" t="s">
        <v>34</v>
      </c>
      <c r="T135" s="15">
        <v>0</v>
      </c>
      <c r="U135" s="13" t="s">
        <v>48</v>
      </c>
      <c r="V135" s="15" t="s">
        <v>200</v>
      </c>
      <c r="W135" s="13" t="s">
        <v>48</v>
      </c>
      <c r="X135" s="15" t="s">
        <v>36</v>
      </c>
      <c r="Y135" s="13" t="s">
        <v>37</v>
      </c>
    </row>
    <row x14ac:dyDescent="0.25" r="136" customHeight="1" ht="18.75">
      <c r="A136" s="5">
        <v>74020879</v>
      </c>
      <c r="B136" s="6">
        <v>436</v>
      </c>
      <c r="C136" s="7" t="s">
        <v>742</v>
      </c>
      <c r="D136" s="7" t="s">
        <v>743</v>
      </c>
      <c r="E136" s="8">
        <v>74020879</v>
      </c>
      <c r="F136" s="8">
        <v>436</v>
      </c>
      <c r="G136" s="7" t="s">
        <v>27</v>
      </c>
      <c r="H136" s="7" t="s">
        <v>744</v>
      </c>
      <c r="I136" s="7" t="s">
        <v>745</v>
      </c>
      <c r="J136" s="8">
        <f>79218975732</f>
      </c>
      <c r="K136" s="9"/>
      <c r="L136" s="7" t="s">
        <v>54</v>
      </c>
      <c r="M136" s="8">
        <v>188</v>
      </c>
      <c r="N136" s="7" t="s">
        <v>55</v>
      </c>
      <c r="O136" s="7" t="s">
        <v>56</v>
      </c>
      <c r="P136" s="7" t="s">
        <v>57</v>
      </c>
      <c r="Q136" s="8" t="s">
        <v>58</v>
      </c>
      <c r="R136" s="7" t="s">
        <v>33</v>
      </c>
      <c r="S136" s="7" t="s">
        <v>34</v>
      </c>
      <c r="T136" s="10">
        <v>0</v>
      </c>
      <c r="U136" s="7"/>
      <c r="V136" s="10">
        <v>0</v>
      </c>
      <c r="W136" s="7" t="s">
        <v>35</v>
      </c>
      <c r="X136" s="10" t="s">
        <v>36</v>
      </c>
      <c r="Y136" s="7" t="s">
        <v>84</v>
      </c>
    </row>
    <row x14ac:dyDescent="0.25" r="137" customHeight="1" ht="18.75">
      <c r="A137" s="11">
        <v>74020880</v>
      </c>
      <c r="B137" s="12">
        <v>437</v>
      </c>
      <c r="C137" s="13" t="s">
        <v>746</v>
      </c>
      <c r="D137" s="13" t="s">
        <v>747</v>
      </c>
      <c r="E137" s="14">
        <v>74020880</v>
      </c>
      <c r="F137" s="14">
        <v>437</v>
      </c>
      <c r="G137" s="13" t="s">
        <v>27</v>
      </c>
      <c r="H137" s="13" t="s">
        <v>748</v>
      </c>
      <c r="I137" s="13" t="s">
        <v>749</v>
      </c>
      <c r="J137" s="14">
        <f>79250051567</f>
      </c>
      <c r="K137" s="9"/>
      <c r="L137" s="13" t="s">
        <v>54</v>
      </c>
      <c r="M137" s="14">
        <v>188</v>
      </c>
      <c r="N137" s="13" t="s">
        <v>55</v>
      </c>
      <c r="O137" s="13" t="s">
        <v>32</v>
      </c>
      <c r="P137" s="13" t="s">
        <v>32</v>
      </c>
      <c r="Q137" s="14" t="s">
        <v>58</v>
      </c>
      <c r="R137" s="13" t="s">
        <v>33</v>
      </c>
      <c r="S137" s="13" t="s">
        <v>34</v>
      </c>
      <c r="T137" s="15">
        <v>0</v>
      </c>
      <c r="U137" s="13"/>
      <c r="V137" s="15">
        <v>0</v>
      </c>
      <c r="W137" s="13" t="s">
        <v>48</v>
      </c>
      <c r="X137" s="15" t="s">
        <v>36</v>
      </c>
      <c r="Y137" s="13" t="s">
        <v>37</v>
      </c>
    </row>
    <row x14ac:dyDescent="0.25" r="138" customHeight="1" ht="18.75">
      <c r="A138" s="5">
        <v>74020881</v>
      </c>
      <c r="B138" s="6">
        <v>438</v>
      </c>
      <c r="C138" s="7" t="s">
        <v>750</v>
      </c>
      <c r="D138" s="7" t="s">
        <v>751</v>
      </c>
      <c r="E138" s="8">
        <v>74020881</v>
      </c>
      <c r="F138" s="8">
        <v>438</v>
      </c>
      <c r="G138" s="7" t="s">
        <v>27</v>
      </c>
      <c r="H138" s="7" t="s">
        <v>752</v>
      </c>
      <c r="I138" s="7" t="s">
        <v>753</v>
      </c>
      <c r="J138" s="8">
        <f>79218975813</f>
      </c>
      <c r="K138" s="9"/>
      <c r="L138" s="7" t="s">
        <v>54</v>
      </c>
      <c r="M138" s="8">
        <v>188</v>
      </c>
      <c r="N138" s="7" t="s">
        <v>55</v>
      </c>
      <c r="O138" s="7" t="s">
        <v>56</v>
      </c>
      <c r="P138" s="7" t="s">
        <v>57</v>
      </c>
      <c r="Q138" s="8" t="s">
        <v>58</v>
      </c>
      <c r="R138" s="7" t="s">
        <v>33</v>
      </c>
      <c r="S138" s="7" t="s">
        <v>34</v>
      </c>
      <c r="T138" s="10">
        <v>0</v>
      </c>
      <c r="U138" s="7"/>
      <c r="V138" s="10">
        <v>0</v>
      </c>
      <c r="W138" s="7" t="s">
        <v>48</v>
      </c>
      <c r="X138" s="10" t="s">
        <v>36</v>
      </c>
      <c r="Y138" s="7" t="s">
        <v>37</v>
      </c>
    </row>
    <row x14ac:dyDescent="0.25" r="139" customHeight="1" ht="18.75">
      <c r="A139" s="11">
        <v>74020882</v>
      </c>
      <c r="B139" s="12">
        <v>439</v>
      </c>
      <c r="C139" s="13" t="s">
        <v>754</v>
      </c>
      <c r="D139" s="13" t="s">
        <v>755</v>
      </c>
      <c r="E139" s="14">
        <v>74020882</v>
      </c>
      <c r="F139" s="14">
        <v>439</v>
      </c>
      <c r="G139" s="13" t="s">
        <v>27</v>
      </c>
      <c r="H139" s="13" t="s">
        <v>756</v>
      </c>
      <c r="I139" s="13" t="s">
        <v>757</v>
      </c>
      <c r="J139" s="14">
        <f>79218975764</f>
      </c>
      <c r="K139" s="9"/>
      <c r="L139" s="13" t="s">
        <v>54</v>
      </c>
      <c r="M139" s="14">
        <v>188</v>
      </c>
      <c r="N139" s="13" t="s">
        <v>55</v>
      </c>
      <c r="O139" s="13" t="s">
        <v>56</v>
      </c>
      <c r="P139" s="13" t="s">
        <v>57</v>
      </c>
      <c r="Q139" s="14" t="s">
        <v>58</v>
      </c>
      <c r="R139" s="13" t="s">
        <v>33</v>
      </c>
      <c r="S139" s="13" t="s">
        <v>34</v>
      </c>
      <c r="T139" s="15">
        <v>0</v>
      </c>
      <c r="U139" s="13"/>
      <c r="V139" s="15">
        <v>0</v>
      </c>
      <c r="W139" s="13" t="s">
        <v>35</v>
      </c>
      <c r="X139" s="15" t="s">
        <v>36</v>
      </c>
      <c r="Y139" s="13" t="s">
        <v>37</v>
      </c>
    </row>
    <row x14ac:dyDescent="0.25" r="140" customHeight="1" ht="18.75">
      <c r="A140" s="5">
        <v>74020883</v>
      </c>
      <c r="B140" s="6">
        <v>440</v>
      </c>
      <c r="C140" s="7" t="s">
        <v>758</v>
      </c>
      <c r="D140" s="7" t="s">
        <v>759</v>
      </c>
      <c r="E140" s="8">
        <v>74020883</v>
      </c>
      <c r="F140" s="8">
        <v>440</v>
      </c>
      <c r="G140" s="7" t="s">
        <v>27</v>
      </c>
      <c r="H140" s="7" t="s">
        <v>760</v>
      </c>
      <c r="I140" s="7" t="s">
        <v>761</v>
      </c>
      <c r="J140" s="8">
        <f>79310064451</f>
      </c>
      <c r="K140" s="9"/>
      <c r="L140" s="7" t="s">
        <v>54</v>
      </c>
      <c r="M140" s="8">
        <v>188</v>
      </c>
      <c r="N140" s="7" t="s">
        <v>55</v>
      </c>
      <c r="O140" s="7" t="s">
        <v>56</v>
      </c>
      <c r="P140" s="7" t="s">
        <v>57</v>
      </c>
      <c r="Q140" s="8" t="s">
        <v>58</v>
      </c>
      <c r="R140" s="7" t="s">
        <v>33</v>
      </c>
      <c r="S140" s="7" t="s">
        <v>34</v>
      </c>
      <c r="T140" s="10">
        <v>0</v>
      </c>
      <c r="U140" s="7"/>
      <c r="V140" s="10">
        <v>0</v>
      </c>
      <c r="W140" s="7" t="s">
        <v>48</v>
      </c>
      <c r="X140" s="10" t="s">
        <v>36</v>
      </c>
      <c r="Y140" s="7" t="s">
        <v>84</v>
      </c>
    </row>
    <row x14ac:dyDescent="0.25" r="141" customHeight="1" ht="18.75">
      <c r="A141" s="11">
        <v>74020885</v>
      </c>
      <c r="B141" s="12">
        <v>442</v>
      </c>
      <c r="C141" s="13" t="s">
        <v>762</v>
      </c>
      <c r="D141" s="13" t="s">
        <v>763</v>
      </c>
      <c r="E141" s="14">
        <v>74020885</v>
      </c>
      <c r="F141" s="14">
        <v>442</v>
      </c>
      <c r="G141" s="13" t="s">
        <v>27</v>
      </c>
      <c r="H141" s="13" t="s">
        <v>764</v>
      </c>
      <c r="I141" s="13" t="s">
        <v>765</v>
      </c>
      <c r="J141" s="14">
        <f>79640314730</f>
      </c>
      <c r="K141" s="9"/>
      <c r="L141" s="13" t="s">
        <v>117</v>
      </c>
      <c r="M141" s="14">
        <v>210</v>
      </c>
      <c r="N141" s="13" t="s">
        <v>118</v>
      </c>
      <c r="O141" s="13" t="s">
        <v>119</v>
      </c>
      <c r="P141" s="13" t="s">
        <v>766</v>
      </c>
      <c r="Q141" s="14" t="s">
        <v>58</v>
      </c>
      <c r="R141" s="13" t="s">
        <v>33</v>
      </c>
      <c r="S141" s="13" t="s">
        <v>34</v>
      </c>
      <c r="T141" s="15">
        <v>0</v>
      </c>
      <c r="U141" s="13" t="s">
        <v>48</v>
      </c>
      <c r="V141" s="15" t="s">
        <v>64</v>
      </c>
      <c r="W141" s="13" t="s">
        <v>35</v>
      </c>
      <c r="X141" s="15" t="s">
        <v>712</v>
      </c>
      <c r="Y141" s="13" t="s">
        <v>37</v>
      </c>
    </row>
    <row x14ac:dyDescent="0.25" r="142" customHeight="1" ht="18.75">
      <c r="A142" s="5">
        <v>74020892</v>
      </c>
      <c r="B142" s="6">
        <v>448</v>
      </c>
      <c r="C142" s="7" t="s">
        <v>767</v>
      </c>
      <c r="D142" s="7" t="s">
        <v>768</v>
      </c>
      <c r="E142" s="8">
        <v>74020892</v>
      </c>
      <c r="F142" s="8">
        <v>448</v>
      </c>
      <c r="G142" s="7" t="s">
        <v>27</v>
      </c>
      <c r="H142" s="7" t="s">
        <v>769</v>
      </c>
      <c r="I142" s="7" t="s">
        <v>770</v>
      </c>
      <c r="J142" s="8">
        <f>79673622381</f>
      </c>
      <c r="K142" s="9"/>
      <c r="L142" s="7" t="s">
        <v>54</v>
      </c>
      <c r="M142" s="8">
        <v>188</v>
      </c>
      <c r="N142" s="7" t="s">
        <v>55</v>
      </c>
      <c r="O142" s="7" t="s">
        <v>44</v>
      </c>
      <c r="P142" s="7" t="s">
        <v>292</v>
      </c>
      <c r="Q142" s="8" t="s">
        <v>182</v>
      </c>
      <c r="R142" s="7" t="s">
        <v>33</v>
      </c>
      <c r="S142" s="7" t="s">
        <v>34</v>
      </c>
      <c r="T142" s="10">
        <v>0</v>
      </c>
      <c r="U142" s="7"/>
      <c r="V142" s="10">
        <v>0</v>
      </c>
      <c r="W142" s="7" t="s">
        <v>48</v>
      </c>
      <c r="X142" s="10" t="s">
        <v>65</v>
      </c>
      <c r="Y142" s="7" t="s">
        <v>59</v>
      </c>
    </row>
    <row x14ac:dyDescent="0.25" r="143" customHeight="1" ht="18.75">
      <c r="A143" s="11">
        <v>74020896</v>
      </c>
      <c r="B143" s="12">
        <v>451</v>
      </c>
      <c r="C143" s="13" t="s">
        <v>771</v>
      </c>
      <c r="D143" s="13" t="s">
        <v>772</v>
      </c>
      <c r="E143" s="14">
        <v>74020896</v>
      </c>
      <c r="F143" s="14">
        <v>451</v>
      </c>
      <c r="G143" s="13" t="s">
        <v>27</v>
      </c>
      <c r="H143" s="13" t="s">
        <v>773</v>
      </c>
      <c r="I143" s="13" t="s">
        <v>774</v>
      </c>
      <c r="J143" s="14">
        <f>73472262444</f>
      </c>
      <c r="K143" s="14">
        <v>1018</v>
      </c>
      <c r="L143" s="13" t="s">
        <v>94</v>
      </c>
      <c r="M143" s="14">
        <v>48</v>
      </c>
      <c r="N143" s="13" t="s">
        <v>775</v>
      </c>
      <c r="O143" s="13" t="s">
        <v>96</v>
      </c>
      <c r="P143" s="13" t="s">
        <v>97</v>
      </c>
      <c r="Q143" s="14" t="s">
        <v>776</v>
      </c>
      <c r="R143" s="13" t="s">
        <v>33</v>
      </c>
      <c r="S143" s="13" t="s">
        <v>34</v>
      </c>
      <c r="T143" s="15">
        <v>0</v>
      </c>
      <c r="U143" s="13" t="s">
        <v>48</v>
      </c>
      <c r="V143" s="15" t="s">
        <v>64</v>
      </c>
      <c r="W143" s="13" t="s">
        <v>48</v>
      </c>
      <c r="X143" s="15" t="s">
        <v>36</v>
      </c>
      <c r="Y143" s="13" t="s">
        <v>126</v>
      </c>
    </row>
    <row x14ac:dyDescent="0.25" r="144" customHeight="1" ht="18.75">
      <c r="A144" s="5">
        <v>74020897</v>
      </c>
      <c r="B144" s="6">
        <v>452</v>
      </c>
      <c r="C144" s="7" t="s">
        <v>777</v>
      </c>
      <c r="D144" s="7" t="s">
        <v>778</v>
      </c>
      <c r="E144" s="8">
        <v>74020897</v>
      </c>
      <c r="F144" s="8">
        <v>452</v>
      </c>
      <c r="G144" s="7" t="s">
        <v>27</v>
      </c>
      <c r="H144" s="7" t="s">
        <v>779</v>
      </c>
      <c r="I144" s="7" t="s">
        <v>780</v>
      </c>
      <c r="J144" s="8">
        <f>79160792437</f>
      </c>
      <c r="K144" s="9"/>
      <c r="L144" s="7" t="s">
        <v>544</v>
      </c>
      <c r="M144" s="8">
        <v>74</v>
      </c>
      <c r="N144" s="7" t="s">
        <v>545</v>
      </c>
      <c r="O144" s="7" t="s">
        <v>32</v>
      </c>
      <c r="P144" s="7" t="s">
        <v>32</v>
      </c>
      <c r="Q144" s="8" t="s">
        <v>58</v>
      </c>
      <c r="R144" s="7" t="s">
        <v>33</v>
      </c>
      <c r="S144" s="7" t="s">
        <v>34</v>
      </c>
      <c r="T144" s="10">
        <v>0</v>
      </c>
      <c r="U144" s="7"/>
      <c r="V144" s="10">
        <v>0</v>
      </c>
      <c r="W144" s="7" t="s">
        <v>48</v>
      </c>
      <c r="X144" s="10" t="s">
        <v>36</v>
      </c>
      <c r="Y144" s="7" t="s">
        <v>37</v>
      </c>
    </row>
    <row x14ac:dyDescent="0.25" r="145" customHeight="1" ht="18.75">
      <c r="A145" s="11">
        <v>74020898</v>
      </c>
      <c r="B145" s="12">
        <v>453</v>
      </c>
      <c r="C145" s="13" t="s">
        <v>781</v>
      </c>
      <c r="D145" s="13" t="s">
        <v>782</v>
      </c>
      <c r="E145" s="14">
        <v>74020898</v>
      </c>
      <c r="F145" s="14">
        <v>453</v>
      </c>
      <c r="G145" s="13" t="s">
        <v>27</v>
      </c>
      <c r="H145" s="13" t="s">
        <v>783</v>
      </c>
      <c r="I145" s="13" t="s">
        <v>784</v>
      </c>
      <c r="J145" s="14">
        <f>79853699908</f>
      </c>
      <c r="K145" s="9"/>
      <c r="L145" s="13" t="s">
        <v>544</v>
      </c>
      <c r="M145" s="14">
        <v>74</v>
      </c>
      <c r="N145" s="13" t="s">
        <v>545</v>
      </c>
      <c r="O145" s="13" t="s">
        <v>32</v>
      </c>
      <c r="P145" s="13" t="s">
        <v>32</v>
      </c>
      <c r="Q145" s="14" t="s">
        <v>58</v>
      </c>
      <c r="R145" s="13" t="s">
        <v>33</v>
      </c>
      <c r="S145" s="13" t="s">
        <v>34</v>
      </c>
      <c r="T145" s="15">
        <v>0</v>
      </c>
      <c r="U145" s="13"/>
      <c r="V145" s="15">
        <v>0</v>
      </c>
      <c r="W145" s="13" t="s">
        <v>48</v>
      </c>
      <c r="X145" s="15" t="s">
        <v>36</v>
      </c>
      <c r="Y145" s="13" t="s">
        <v>37</v>
      </c>
    </row>
    <row x14ac:dyDescent="0.25" r="146" customHeight="1" ht="18.75">
      <c r="A146" s="5">
        <v>74020918</v>
      </c>
      <c r="B146" s="6">
        <v>470</v>
      </c>
      <c r="C146" s="7" t="s">
        <v>785</v>
      </c>
      <c r="D146" s="7" t="s">
        <v>786</v>
      </c>
      <c r="E146" s="8">
        <v>74020918</v>
      </c>
      <c r="F146" s="8">
        <v>470</v>
      </c>
      <c r="G146" s="7" t="s">
        <v>27</v>
      </c>
      <c r="H146" s="7" t="s">
        <v>787</v>
      </c>
      <c r="I146" s="7" t="s">
        <v>788</v>
      </c>
      <c r="J146" s="8">
        <f>74957254098</f>
      </c>
      <c r="K146" s="9"/>
      <c r="L146" s="7" t="s">
        <v>30</v>
      </c>
      <c r="M146" s="8">
        <v>56</v>
      </c>
      <c r="N146" s="7" t="s">
        <v>31</v>
      </c>
      <c r="O146" s="7" t="s">
        <v>32</v>
      </c>
      <c r="P146" s="7" t="s">
        <v>32</v>
      </c>
      <c r="Q146" s="8" t="s">
        <v>58</v>
      </c>
      <c r="R146" s="7" t="s">
        <v>33</v>
      </c>
      <c r="S146" s="7" t="s">
        <v>34</v>
      </c>
      <c r="T146" s="10">
        <v>0</v>
      </c>
      <c r="U146" s="7"/>
      <c r="V146" s="10">
        <v>0</v>
      </c>
      <c r="W146" s="7" t="s">
        <v>48</v>
      </c>
      <c r="X146" s="10" t="s">
        <v>36</v>
      </c>
      <c r="Y146" s="7" t="s">
        <v>37</v>
      </c>
    </row>
    <row x14ac:dyDescent="0.25" r="147" customHeight="1" ht="18.75">
      <c r="A147" s="11">
        <v>74020919</v>
      </c>
      <c r="B147" s="12">
        <v>471</v>
      </c>
      <c r="C147" s="13" t="s">
        <v>789</v>
      </c>
      <c r="D147" s="13" t="s">
        <v>790</v>
      </c>
      <c r="E147" s="14">
        <v>74020919</v>
      </c>
      <c r="F147" s="14">
        <v>471</v>
      </c>
      <c r="G147" s="13" t="s">
        <v>27</v>
      </c>
      <c r="H147" s="13" t="s">
        <v>791</v>
      </c>
      <c r="I147" s="13" t="s">
        <v>792</v>
      </c>
      <c r="J147" s="14">
        <f>74951980933</f>
      </c>
      <c r="K147" s="9"/>
      <c r="L147" s="13" t="s">
        <v>80</v>
      </c>
      <c r="M147" s="14">
        <v>238</v>
      </c>
      <c r="N147" s="13" t="s">
        <v>793</v>
      </c>
      <c r="O147" s="13" t="s">
        <v>32</v>
      </c>
      <c r="P147" s="13" t="s">
        <v>32</v>
      </c>
      <c r="Q147" s="14" t="s">
        <v>58</v>
      </c>
      <c r="R147" s="13" t="s">
        <v>33</v>
      </c>
      <c r="S147" s="13" t="s">
        <v>34</v>
      </c>
      <c r="T147" s="15">
        <v>0</v>
      </c>
      <c r="U147" s="13" t="s">
        <v>48</v>
      </c>
      <c r="V147" s="15" t="s">
        <v>214</v>
      </c>
      <c r="W147" s="13" t="s">
        <v>35</v>
      </c>
      <c r="X147" s="15" t="s">
        <v>712</v>
      </c>
      <c r="Y147" s="13" t="s">
        <v>37</v>
      </c>
    </row>
    <row x14ac:dyDescent="0.25" r="148" customHeight="1" ht="18.75">
      <c r="A148" s="5">
        <v>74020920</v>
      </c>
      <c r="B148" s="6">
        <v>472</v>
      </c>
      <c r="C148" s="7" t="s">
        <v>794</v>
      </c>
      <c r="D148" s="7" t="s">
        <v>795</v>
      </c>
      <c r="E148" s="8">
        <v>74020920</v>
      </c>
      <c r="F148" s="8">
        <v>472</v>
      </c>
      <c r="G148" s="7" t="s">
        <v>27</v>
      </c>
      <c r="H148" s="7" t="s">
        <v>796</v>
      </c>
      <c r="I148" s="7" t="s">
        <v>797</v>
      </c>
      <c r="J148" s="8">
        <f>79218975530</f>
      </c>
      <c r="K148" s="9"/>
      <c r="L148" s="7" t="s">
        <v>54</v>
      </c>
      <c r="M148" s="8">
        <v>188</v>
      </c>
      <c r="N148" s="7" t="s">
        <v>55</v>
      </c>
      <c r="O148" s="7" t="s">
        <v>56</v>
      </c>
      <c r="P148" s="7" t="s">
        <v>57</v>
      </c>
      <c r="Q148" s="8" t="s">
        <v>58</v>
      </c>
      <c r="R148" s="7" t="s">
        <v>33</v>
      </c>
      <c r="S148" s="7" t="s">
        <v>34</v>
      </c>
      <c r="T148" s="10">
        <v>0</v>
      </c>
      <c r="U148" s="7"/>
      <c r="V148" s="10">
        <v>0</v>
      </c>
      <c r="W148" s="7" t="s">
        <v>48</v>
      </c>
      <c r="X148" s="10" t="s">
        <v>36</v>
      </c>
      <c r="Y148" s="7" t="s">
        <v>37</v>
      </c>
    </row>
    <row x14ac:dyDescent="0.25" r="149" customHeight="1" ht="18.75">
      <c r="A149" s="11">
        <v>74020921</v>
      </c>
      <c r="B149" s="12">
        <v>473</v>
      </c>
      <c r="C149" s="13" t="s">
        <v>798</v>
      </c>
      <c r="D149" s="13" t="s">
        <v>799</v>
      </c>
      <c r="E149" s="14">
        <v>74020921</v>
      </c>
      <c r="F149" s="14">
        <v>473</v>
      </c>
      <c r="G149" s="13" t="s">
        <v>27</v>
      </c>
      <c r="H149" s="13" t="s">
        <v>800</v>
      </c>
      <c r="I149" s="13" t="s">
        <v>801</v>
      </c>
      <c r="J149" s="14">
        <f>79274578372</f>
      </c>
      <c r="K149" s="9"/>
      <c r="L149" s="13" t="s">
        <v>54</v>
      </c>
      <c r="M149" s="14">
        <v>188</v>
      </c>
      <c r="N149" s="13" t="s">
        <v>55</v>
      </c>
      <c r="O149" s="13" t="s">
        <v>44</v>
      </c>
      <c r="P149" s="13" t="s">
        <v>292</v>
      </c>
      <c r="Q149" s="14" t="s">
        <v>182</v>
      </c>
      <c r="R149" s="13" t="s">
        <v>33</v>
      </c>
      <c r="S149" s="13" t="s">
        <v>34</v>
      </c>
      <c r="T149" s="15">
        <v>0</v>
      </c>
      <c r="U149" s="13"/>
      <c r="V149" s="15">
        <v>0</v>
      </c>
      <c r="W149" s="13" t="s">
        <v>48</v>
      </c>
      <c r="X149" s="15" t="s">
        <v>65</v>
      </c>
      <c r="Y149" s="13" t="s">
        <v>84</v>
      </c>
    </row>
    <row x14ac:dyDescent="0.25" r="150" customHeight="1" ht="18.75">
      <c r="A150" s="5">
        <v>74020943</v>
      </c>
      <c r="B150" s="6">
        <v>489</v>
      </c>
      <c r="C150" s="7" t="s">
        <v>802</v>
      </c>
      <c r="D150" s="7" t="s">
        <v>803</v>
      </c>
      <c r="E150" s="8">
        <v>74020943</v>
      </c>
      <c r="F150" s="8">
        <v>489</v>
      </c>
      <c r="G150" s="7" t="s">
        <v>27</v>
      </c>
      <c r="H150" s="7" t="s">
        <v>804</v>
      </c>
      <c r="I150" s="7" t="s">
        <v>805</v>
      </c>
      <c r="J150" s="8">
        <f>79679403209</f>
      </c>
      <c r="K150" s="9"/>
      <c r="L150" s="7" t="s">
        <v>117</v>
      </c>
      <c r="M150" s="8">
        <v>210</v>
      </c>
      <c r="N150" s="7" t="s">
        <v>118</v>
      </c>
      <c r="O150" s="7" t="s">
        <v>119</v>
      </c>
      <c r="P150" s="7" t="s">
        <v>806</v>
      </c>
      <c r="Q150" s="8" t="s">
        <v>58</v>
      </c>
      <c r="R150" s="7" t="s">
        <v>33</v>
      </c>
      <c r="S150" s="7" t="s">
        <v>34</v>
      </c>
      <c r="T150" s="10">
        <v>0</v>
      </c>
      <c r="U150" s="7" t="s">
        <v>48</v>
      </c>
      <c r="V150" s="10" t="s">
        <v>64</v>
      </c>
      <c r="W150" s="7" t="s">
        <v>35</v>
      </c>
      <c r="X150" s="10" t="s">
        <v>712</v>
      </c>
      <c r="Y150" s="7" t="s">
        <v>37</v>
      </c>
    </row>
    <row x14ac:dyDescent="0.25" r="151" customHeight="1" ht="18.75">
      <c r="A151" s="11">
        <v>74020944</v>
      </c>
      <c r="B151" s="12">
        <v>490</v>
      </c>
      <c r="C151" s="13" t="s">
        <v>807</v>
      </c>
      <c r="D151" s="13" t="s">
        <v>808</v>
      </c>
      <c r="E151" s="14">
        <v>74020944</v>
      </c>
      <c r="F151" s="14">
        <v>490</v>
      </c>
      <c r="G151" s="13" t="s">
        <v>27</v>
      </c>
      <c r="H151" s="13" t="s">
        <v>809</v>
      </c>
      <c r="I151" s="13" t="s">
        <v>810</v>
      </c>
      <c r="J151" s="14">
        <f>79618238805</f>
      </c>
      <c r="K151" s="9"/>
      <c r="L151" s="13" t="s">
        <v>117</v>
      </c>
      <c r="M151" s="14">
        <v>210</v>
      </c>
      <c r="N151" s="13" t="s">
        <v>118</v>
      </c>
      <c r="O151" s="13" t="s">
        <v>119</v>
      </c>
      <c r="P151" s="13" t="s">
        <v>811</v>
      </c>
      <c r="Q151" s="14" t="s">
        <v>58</v>
      </c>
      <c r="R151" s="13" t="s">
        <v>33</v>
      </c>
      <c r="S151" s="13" t="s">
        <v>34</v>
      </c>
      <c r="T151" s="15">
        <v>0</v>
      </c>
      <c r="U151" s="13" t="s">
        <v>48</v>
      </c>
      <c r="V151" s="15" t="s">
        <v>64</v>
      </c>
      <c r="W151" s="13" t="s">
        <v>35</v>
      </c>
      <c r="X151" s="15" t="s">
        <v>712</v>
      </c>
      <c r="Y151" s="13" t="s">
        <v>37</v>
      </c>
    </row>
    <row x14ac:dyDescent="0.25" r="152" customHeight="1" ht="18.75">
      <c r="A152" s="5">
        <v>74020950</v>
      </c>
      <c r="B152" s="6">
        <v>494</v>
      </c>
      <c r="C152" s="7" t="s">
        <v>812</v>
      </c>
      <c r="D152" s="7" t="s">
        <v>813</v>
      </c>
      <c r="E152" s="8">
        <v>74020950</v>
      </c>
      <c r="F152" s="8">
        <v>494</v>
      </c>
      <c r="G152" s="7" t="s">
        <v>27</v>
      </c>
      <c r="H152" s="7" t="s">
        <v>814</v>
      </c>
      <c r="I152" s="7" t="s">
        <v>815</v>
      </c>
      <c r="J152" s="8">
        <f>79306948818</f>
      </c>
      <c r="K152" s="9"/>
      <c r="L152" s="7" t="s">
        <v>54</v>
      </c>
      <c r="M152" s="8">
        <v>188</v>
      </c>
      <c r="N152" s="7" t="s">
        <v>55</v>
      </c>
      <c r="O152" s="7" t="s">
        <v>44</v>
      </c>
      <c r="P152" s="7" t="s">
        <v>89</v>
      </c>
      <c r="Q152" s="8" t="s">
        <v>58</v>
      </c>
      <c r="R152" s="7" t="s">
        <v>33</v>
      </c>
      <c r="S152" s="7" t="s">
        <v>34</v>
      </c>
      <c r="T152" s="10">
        <v>0</v>
      </c>
      <c r="U152" s="7" t="s">
        <v>48</v>
      </c>
      <c r="V152" s="10" t="s">
        <v>49</v>
      </c>
      <c r="W152" s="7" t="s">
        <v>48</v>
      </c>
      <c r="X152" s="10" t="s">
        <v>36</v>
      </c>
      <c r="Y152" s="7" t="s">
        <v>59</v>
      </c>
    </row>
    <row x14ac:dyDescent="0.25" r="153" customHeight="1" ht="18.75">
      <c r="A153" s="11">
        <v>74020952</v>
      </c>
      <c r="B153" s="12">
        <v>496</v>
      </c>
      <c r="C153" s="13" t="s">
        <v>816</v>
      </c>
      <c r="D153" s="13" t="s">
        <v>817</v>
      </c>
      <c r="E153" s="14">
        <v>74020952</v>
      </c>
      <c r="F153" s="14">
        <v>496</v>
      </c>
      <c r="G153" s="13" t="s">
        <v>27</v>
      </c>
      <c r="H153" s="13" t="s">
        <v>818</v>
      </c>
      <c r="I153" s="13" t="s">
        <v>819</v>
      </c>
      <c r="J153" s="14">
        <f>73412912567</f>
      </c>
      <c r="K153" s="9"/>
      <c r="L153" s="13" t="s">
        <v>42</v>
      </c>
      <c r="M153" s="14">
        <v>132</v>
      </c>
      <c r="N153" s="13" t="s">
        <v>820</v>
      </c>
      <c r="O153" s="13" t="s">
        <v>44</v>
      </c>
      <c r="P153" s="13" t="s">
        <v>45</v>
      </c>
      <c r="Q153" s="14" t="s">
        <v>821</v>
      </c>
      <c r="R153" s="13" t="s">
        <v>33</v>
      </c>
      <c r="S153" s="13" t="s">
        <v>34</v>
      </c>
      <c r="T153" s="15">
        <v>0</v>
      </c>
      <c r="U153" s="13" t="s">
        <v>48</v>
      </c>
      <c r="V153" s="15" t="s">
        <v>64</v>
      </c>
      <c r="W153" s="13" t="s">
        <v>48</v>
      </c>
      <c r="X153" s="15" t="s">
        <v>36</v>
      </c>
      <c r="Y153" s="13" t="s">
        <v>37</v>
      </c>
    </row>
    <row x14ac:dyDescent="0.25" r="154" customHeight="1" ht="18.75">
      <c r="A154" s="5">
        <v>74020960</v>
      </c>
      <c r="B154" s="6">
        <v>504</v>
      </c>
      <c r="C154" s="7" t="s">
        <v>822</v>
      </c>
      <c r="D154" s="7" t="s">
        <v>823</v>
      </c>
      <c r="E154" s="8">
        <v>74020960</v>
      </c>
      <c r="F154" s="8">
        <v>504</v>
      </c>
      <c r="G154" s="7" t="s">
        <v>27</v>
      </c>
      <c r="H154" s="7" t="s">
        <v>824</v>
      </c>
      <c r="I154" s="7" t="s">
        <v>825</v>
      </c>
      <c r="J154" s="8">
        <f>74232732337</f>
      </c>
      <c r="K154" s="9"/>
      <c r="L154" s="7" t="s">
        <v>721</v>
      </c>
      <c r="M154" s="8">
        <v>55</v>
      </c>
      <c r="N154" s="7" t="s">
        <v>722</v>
      </c>
      <c r="O154" s="7" t="s">
        <v>723</v>
      </c>
      <c r="P154" s="7" t="s">
        <v>724</v>
      </c>
      <c r="Q154" s="8" t="s">
        <v>826</v>
      </c>
      <c r="R154" s="7" t="s">
        <v>33</v>
      </c>
      <c r="S154" s="7" t="s">
        <v>34</v>
      </c>
      <c r="T154" s="10">
        <v>0</v>
      </c>
      <c r="U154" s="7" t="s">
        <v>48</v>
      </c>
      <c r="V154" s="10" t="s">
        <v>64</v>
      </c>
      <c r="W154" s="7" t="s">
        <v>35</v>
      </c>
      <c r="X154" s="10" t="s">
        <v>712</v>
      </c>
      <c r="Y154" s="7" t="s">
        <v>37</v>
      </c>
    </row>
    <row x14ac:dyDescent="0.25" r="155" customHeight="1" ht="18.75">
      <c r="A155" s="11">
        <v>74020961</v>
      </c>
      <c r="B155" s="12">
        <v>505</v>
      </c>
      <c r="C155" s="13" t="s">
        <v>827</v>
      </c>
      <c r="D155" s="13" t="s">
        <v>828</v>
      </c>
      <c r="E155" s="14">
        <v>74020961</v>
      </c>
      <c r="F155" s="14">
        <v>505</v>
      </c>
      <c r="G155" s="13" t="s">
        <v>27</v>
      </c>
      <c r="H155" s="13" t="s">
        <v>829</v>
      </c>
      <c r="I155" s="13" t="s">
        <v>830</v>
      </c>
      <c r="J155" s="14">
        <f>74232606066</f>
      </c>
      <c r="K155" s="9"/>
      <c r="L155" s="13" t="s">
        <v>721</v>
      </c>
      <c r="M155" s="14">
        <v>55</v>
      </c>
      <c r="N155" s="13" t="s">
        <v>722</v>
      </c>
      <c r="O155" s="13" t="s">
        <v>723</v>
      </c>
      <c r="P155" s="13" t="s">
        <v>724</v>
      </c>
      <c r="Q155" s="14" t="s">
        <v>831</v>
      </c>
      <c r="R155" s="13" t="s">
        <v>33</v>
      </c>
      <c r="S155" s="13" t="s">
        <v>34</v>
      </c>
      <c r="T155" s="15">
        <v>0</v>
      </c>
      <c r="U155" s="13" t="s">
        <v>48</v>
      </c>
      <c r="V155" s="15" t="s">
        <v>64</v>
      </c>
      <c r="W155" s="13" t="s">
        <v>35</v>
      </c>
      <c r="X155" s="15" t="s">
        <v>712</v>
      </c>
      <c r="Y155" s="13" t="s">
        <v>37</v>
      </c>
    </row>
    <row x14ac:dyDescent="0.25" r="156" customHeight="1" ht="18.75">
      <c r="A156" s="5">
        <v>74020968</v>
      </c>
      <c r="B156" s="6">
        <v>507</v>
      </c>
      <c r="C156" s="7" t="s">
        <v>832</v>
      </c>
      <c r="D156" s="7" t="s">
        <v>833</v>
      </c>
      <c r="E156" s="8">
        <v>74020968</v>
      </c>
      <c r="F156" s="8">
        <v>507</v>
      </c>
      <c r="G156" s="7" t="s">
        <v>27</v>
      </c>
      <c r="H156" s="7" t="s">
        <v>834</v>
      </c>
      <c r="I156" s="7" t="s">
        <v>835</v>
      </c>
      <c r="J156" s="8">
        <f>79106022372</f>
      </c>
      <c r="K156" s="9"/>
      <c r="L156" s="7" t="s">
        <v>230</v>
      </c>
      <c r="M156" s="8">
        <v>100132</v>
      </c>
      <c r="N156" s="7" t="s">
        <v>836</v>
      </c>
      <c r="O156" s="7" t="s">
        <v>232</v>
      </c>
      <c r="P156" s="7" t="s">
        <v>667</v>
      </c>
      <c r="Q156" s="8" t="s">
        <v>833</v>
      </c>
      <c r="R156" s="7" t="s">
        <v>33</v>
      </c>
      <c r="S156" s="7" t="s">
        <v>34</v>
      </c>
      <c r="T156" s="10">
        <v>0</v>
      </c>
      <c r="U156" s="7" t="s">
        <v>48</v>
      </c>
      <c r="V156" s="10" t="s">
        <v>214</v>
      </c>
      <c r="W156" s="7" t="s">
        <v>48</v>
      </c>
      <c r="X156" s="10" t="s">
        <v>36</v>
      </c>
      <c r="Y156" s="7" t="s">
        <v>37</v>
      </c>
    </row>
    <row x14ac:dyDescent="0.25" r="157" customHeight="1" ht="18.75">
      <c r="A157" s="11">
        <v>74020967</v>
      </c>
      <c r="B157" s="12">
        <v>508</v>
      </c>
      <c r="C157" s="13" t="s">
        <v>837</v>
      </c>
      <c r="D157" s="13" t="s">
        <v>838</v>
      </c>
      <c r="E157" s="14">
        <v>74020967</v>
      </c>
      <c r="F157" s="14">
        <v>508</v>
      </c>
      <c r="G157" s="13" t="s">
        <v>27</v>
      </c>
      <c r="H157" s="13" t="s">
        <v>839</v>
      </c>
      <c r="I157" s="13" t="s">
        <v>840</v>
      </c>
      <c r="J157" s="14">
        <f>79106022371</f>
      </c>
      <c r="K157" s="9"/>
      <c r="L157" s="13" t="s">
        <v>230</v>
      </c>
      <c r="M157" s="14">
        <v>100130</v>
      </c>
      <c r="N157" s="13" t="s">
        <v>841</v>
      </c>
      <c r="O157" s="13" t="s">
        <v>232</v>
      </c>
      <c r="P157" s="13" t="s">
        <v>667</v>
      </c>
      <c r="Q157" s="14" t="s">
        <v>842</v>
      </c>
      <c r="R157" s="13" t="s">
        <v>33</v>
      </c>
      <c r="S157" s="13" t="s">
        <v>34</v>
      </c>
      <c r="T157" s="15">
        <v>0</v>
      </c>
      <c r="U157" s="13" t="s">
        <v>48</v>
      </c>
      <c r="V157" s="15" t="s">
        <v>214</v>
      </c>
      <c r="W157" s="13" t="s">
        <v>48</v>
      </c>
      <c r="X157" s="15" t="s">
        <v>36</v>
      </c>
      <c r="Y157" s="13" t="s">
        <v>37</v>
      </c>
    </row>
    <row x14ac:dyDescent="0.25" r="158" customHeight="1" ht="18.75">
      <c r="A158" s="5">
        <v>74020973</v>
      </c>
      <c r="B158" s="6">
        <v>513</v>
      </c>
      <c r="C158" s="7" t="s">
        <v>843</v>
      </c>
      <c r="D158" s="7" t="s">
        <v>844</v>
      </c>
      <c r="E158" s="8">
        <v>74020973</v>
      </c>
      <c r="F158" s="8">
        <v>513</v>
      </c>
      <c r="G158" s="7" t="s">
        <v>27</v>
      </c>
      <c r="H158" s="7" t="s">
        <v>845</v>
      </c>
      <c r="I158" s="7" t="s">
        <v>846</v>
      </c>
      <c r="J158" s="8">
        <f>74951980903</f>
      </c>
      <c r="K158" s="9"/>
      <c r="L158" s="7" t="s">
        <v>80</v>
      </c>
      <c r="M158" s="8">
        <v>239</v>
      </c>
      <c r="N158" s="7" t="s">
        <v>847</v>
      </c>
      <c r="O158" s="7" t="s">
        <v>32</v>
      </c>
      <c r="P158" s="7" t="s">
        <v>32</v>
      </c>
      <c r="Q158" s="8" t="s">
        <v>58</v>
      </c>
      <c r="R158" s="7" t="s">
        <v>33</v>
      </c>
      <c r="S158" s="7" t="s">
        <v>34</v>
      </c>
      <c r="T158" s="10">
        <v>0</v>
      </c>
      <c r="U158" s="7" t="s">
        <v>48</v>
      </c>
      <c r="V158" s="10" t="s">
        <v>64</v>
      </c>
      <c r="W158" s="7" t="s">
        <v>35</v>
      </c>
      <c r="X158" s="10" t="s">
        <v>712</v>
      </c>
      <c r="Y158" s="7" t="s">
        <v>37</v>
      </c>
    </row>
    <row x14ac:dyDescent="0.25" r="159" customHeight="1" ht="18.75">
      <c r="A159" s="11">
        <v>74020976</v>
      </c>
      <c r="B159" s="12">
        <v>516</v>
      </c>
      <c r="C159" s="13" t="s">
        <v>848</v>
      </c>
      <c r="D159" s="13" t="s">
        <v>849</v>
      </c>
      <c r="E159" s="14">
        <v>74020976</v>
      </c>
      <c r="F159" s="14">
        <v>516</v>
      </c>
      <c r="G159" s="13" t="s">
        <v>27</v>
      </c>
      <c r="H159" s="13" t="s">
        <v>850</v>
      </c>
      <c r="I159" s="13" t="s">
        <v>851</v>
      </c>
      <c r="J159" s="14">
        <f>74951980974</f>
      </c>
      <c r="K159" s="9"/>
      <c r="L159" s="13" t="s">
        <v>80</v>
      </c>
      <c r="M159" s="14">
        <v>240</v>
      </c>
      <c r="N159" s="13" t="s">
        <v>852</v>
      </c>
      <c r="O159" s="13" t="s">
        <v>32</v>
      </c>
      <c r="P159" s="13" t="s">
        <v>32</v>
      </c>
      <c r="Q159" s="14" t="s">
        <v>58</v>
      </c>
      <c r="R159" s="13" t="s">
        <v>33</v>
      </c>
      <c r="S159" s="13" t="s">
        <v>34</v>
      </c>
      <c r="T159" s="15">
        <v>0</v>
      </c>
      <c r="U159" s="13" t="s">
        <v>48</v>
      </c>
      <c r="V159" s="15" t="s">
        <v>64</v>
      </c>
      <c r="W159" s="13" t="s">
        <v>35</v>
      </c>
      <c r="X159" s="15" t="s">
        <v>712</v>
      </c>
      <c r="Y159" s="13" t="s">
        <v>37</v>
      </c>
    </row>
    <row x14ac:dyDescent="0.25" r="160" customHeight="1" ht="18.75">
      <c r="A160" s="5">
        <v>74020979</v>
      </c>
      <c r="B160" s="6">
        <v>519</v>
      </c>
      <c r="C160" s="7" t="s">
        <v>853</v>
      </c>
      <c r="D160" s="7" t="s">
        <v>854</v>
      </c>
      <c r="E160" s="8">
        <v>74020979</v>
      </c>
      <c r="F160" s="8">
        <v>519</v>
      </c>
      <c r="G160" s="7" t="s">
        <v>27</v>
      </c>
      <c r="H160" s="7" t="s">
        <v>855</v>
      </c>
      <c r="I160" s="7" t="s">
        <v>856</v>
      </c>
      <c r="J160" s="8">
        <f>73852282284</f>
      </c>
      <c r="K160" s="9"/>
      <c r="L160" s="7" t="s">
        <v>71</v>
      </c>
      <c r="M160" s="8">
        <v>51</v>
      </c>
      <c r="N160" s="7" t="s">
        <v>657</v>
      </c>
      <c r="O160" s="7" t="s">
        <v>73</v>
      </c>
      <c r="P160" s="7" t="s">
        <v>74</v>
      </c>
      <c r="Q160" s="8" t="s">
        <v>857</v>
      </c>
      <c r="R160" s="7" t="s">
        <v>33</v>
      </c>
      <c r="S160" s="7" t="s">
        <v>34</v>
      </c>
      <c r="T160" s="10">
        <v>0</v>
      </c>
      <c r="U160" s="7" t="s">
        <v>48</v>
      </c>
      <c r="V160" s="10" t="s">
        <v>214</v>
      </c>
      <c r="W160" s="7" t="s">
        <v>48</v>
      </c>
      <c r="X160" s="10" t="s">
        <v>36</v>
      </c>
      <c r="Y160" s="7" t="s">
        <v>37</v>
      </c>
    </row>
    <row x14ac:dyDescent="0.25" r="161" customHeight="1" ht="18.75">
      <c r="A161" s="11">
        <v>74020981</v>
      </c>
      <c r="B161" s="12">
        <v>520</v>
      </c>
      <c r="C161" s="13" t="s">
        <v>858</v>
      </c>
      <c r="D161" s="13" t="s">
        <v>859</v>
      </c>
      <c r="E161" s="14">
        <v>74020981</v>
      </c>
      <c r="F161" s="14">
        <v>520</v>
      </c>
      <c r="G161" s="13" t="s">
        <v>27</v>
      </c>
      <c r="H161" s="13" t="s">
        <v>860</v>
      </c>
      <c r="I161" s="13" t="s">
        <v>861</v>
      </c>
      <c r="J161" s="14">
        <f>79160792850</f>
      </c>
      <c r="K161" s="9"/>
      <c r="L161" s="13" t="s">
        <v>544</v>
      </c>
      <c r="M161" s="14">
        <v>74</v>
      </c>
      <c r="N161" s="13" t="s">
        <v>545</v>
      </c>
      <c r="O161" s="13" t="s">
        <v>32</v>
      </c>
      <c r="P161" s="13" t="s">
        <v>32</v>
      </c>
      <c r="Q161" s="14" t="s">
        <v>58</v>
      </c>
      <c r="R161" s="13" t="s">
        <v>33</v>
      </c>
      <c r="S161" s="13" t="s">
        <v>34</v>
      </c>
      <c r="T161" s="15">
        <v>0</v>
      </c>
      <c r="U161" s="13" t="s">
        <v>48</v>
      </c>
      <c r="V161" s="15" t="s">
        <v>214</v>
      </c>
      <c r="W161" s="13" t="s">
        <v>35</v>
      </c>
      <c r="X161" s="15" t="s">
        <v>65</v>
      </c>
      <c r="Y161" s="13" t="s">
        <v>37</v>
      </c>
    </row>
    <row x14ac:dyDescent="0.25" r="162" customHeight="1" ht="18.75">
      <c r="A162" s="5">
        <v>74020983</v>
      </c>
      <c r="B162" s="6">
        <v>521</v>
      </c>
      <c r="C162" s="7" t="s">
        <v>862</v>
      </c>
      <c r="D162" s="7" t="s">
        <v>863</v>
      </c>
      <c r="E162" s="8">
        <v>74020983</v>
      </c>
      <c r="F162" s="8">
        <v>521</v>
      </c>
      <c r="G162" s="7" t="s">
        <v>27</v>
      </c>
      <c r="H162" s="7" t="s">
        <v>864</v>
      </c>
      <c r="I162" s="7" t="s">
        <v>865</v>
      </c>
      <c r="J162" s="8">
        <f>79160793857</f>
      </c>
      <c r="K162" s="9"/>
      <c r="L162" s="7" t="s">
        <v>544</v>
      </c>
      <c r="M162" s="8">
        <v>74</v>
      </c>
      <c r="N162" s="7" t="s">
        <v>545</v>
      </c>
      <c r="O162" s="7" t="s">
        <v>32</v>
      </c>
      <c r="P162" s="7" t="s">
        <v>32</v>
      </c>
      <c r="Q162" s="8" t="s">
        <v>58</v>
      </c>
      <c r="R162" s="7" t="s">
        <v>33</v>
      </c>
      <c r="S162" s="7" t="s">
        <v>34</v>
      </c>
      <c r="T162" s="10">
        <v>0</v>
      </c>
      <c r="U162" s="7" t="s">
        <v>48</v>
      </c>
      <c r="V162" s="10" t="s">
        <v>125</v>
      </c>
      <c r="W162" s="7" t="s">
        <v>35</v>
      </c>
      <c r="X162" s="10" t="s">
        <v>65</v>
      </c>
      <c r="Y162" s="7" t="s">
        <v>59</v>
      </c>
    </row>
    <row x14ac:dyDescent="0.25" r="163" customHeight="1" ht="18.75">
      <c r="A163" s="11">
        <v>74020987</v>
      </c>
      <c r="B163" s="12">
        <v>523</v>
      </c>
      <c r="C163" s="13" t="s">
        <v>866</v>
      </c>
      <c r="D163" s="13" t="s">
        <v>867</v>
      </c>
      <c r="E163" s="14">
        <v>74020987</v>
      </c>
      <c r="F163" s="14">
        <v>523</v>
      </c>
      <c r="G163" s="13" t="s">
        <v>27</v>
      </c>
      <c r="H163" s="13" t="s">
        <v>868</v>
      </c>
      <c r="I163" s="13" t="s">
        <v>869</v>
      </c>
      <c r="J163" s="14">
        <f>79217519657</f>
      </c>
      <c r="K163" s="9"/>
      <c r="L163" s="13" t="s">
        <v>54</v>
      </c>
      <c r="M163" s="14">
        <v>188</v>
      </c>
      <c r="N163" s="13" t="s">
        <v>55</v>
      </c>
      <c r="O163" s="13" t="s">
        <v>56</v>
      </c>
      <c r="P163" s="13" t="s">
        <v>57</v>
      </c>
      <c r="Q163" s="14" t="s">
        <v>58</v>
      </c>
      <c r="R163" s="13" t="s">
        <v>33</v>
      </c>
      <c r="S163" s="13" t="s">
        <v>34</v>
      </c>
      <c r="T163" s="15">
        <v>0</v>
      </c>
      <c r="U163" s="13"/>
      <c r="V163" s="15">
        <v>0</v>
      </c>
      <c r="W163" s="13" t="s">
        <v>48</v>
      </c>
      <c r="X163" s="15" t="s">
        <v>36</v>
      </c>
      <c r="Y163" s="13" t="s">
        <v>37</v>
      </c>
    </row>
    <row x14ac:dyDescent="0.25" r="164" customHeight="1" ht="18.75">
      <c r="A164" s="5">
        <v>74020989</v>
      </c>
      <c r="B164" s="6">
        <v>524</v>
      </c>
      <c r="C164" s="7" t="s">
        <v>870</v>
      </c>
      <c r="D164" s="7" t="s">
        <v>871</v>
      </c>
      <c r="E164" s="8">
        <v>74020989</v>
      </c>
      <c r="F164" s="8">
        <v>524</v>
      </c>
      <c r="G164" s="7" t="s">
        <v>27</v>
      </c>
      <c r="H164" s="7" t="s">
        <v>259</v>
      </c>
      <c r="I164" s="7" t="s">
        <v>872</v>
      </c>
      <c r="J164" s="8">
        <f>79636306848</f>
      </c>
      <c r="K164" s="9"/>
      <c r="L164" s="7" t="s">
        <v>30</v>
      </c>
      <c r="M164" s="8">
        <v>56</v>
      </c>
      <c r="N164" s="7" t="s">
        <v>31</v>
      </c>
      <c r="O164" s="7" t="s">
        <v>32</v>
      </c>
      <c r="P164" s="7" t="s">
        <v>32</v>
      </c>
      <c r="Q164" s="8" t="s">
        <v>873</v>
      </c>
      <c r="R164" s="7" t="s">
        <v>33</v>
      </c>
      <c r="S164" s="7" t="s">
        <v>34</v>
      </c>
      <c r="T164" s="10">
        <v>0</v>
      </c>
      <c r="U164" s="7"/>
      <c r="V164" s="10">
        <v>0</v>
      </c>
      <c r="W164" s="7" t="s">
        <v>48</v>
      </c>
      <c r="X164" s="10" t="s">
        <v>65</v>
      </c>
      <c r="Y164" s="7" t="s">
        <v>37</v>
      </c>
    </row>
    <row x14ac:dyDescent="0.25" r="165" customHeight="1" ht="18.75">
      <c r="A165" s="11">
        <v>74021003</v>
      </c>
      <c r="B165" s="12">
        <v>529</v>
      </c>
      <c r="C165" s="13" t="s">
        <v>874</v>
      </c>
      <c r="D165" s="13" t="s">
        <v>875</v>
      </c>
      <c r="E165" s="14">
        <v>74021003</v>
      </c>
      <c r="F165" s="14">
        <v>529</v>
      </c>
      <c r="G165" s="13" t="s">
        <v>27</v>
      </c>
      <c r="H165" s="13" t="s">
        <v>876</v>
      </c>
      <c r="I165" s="13" t="s">
        <v>877</v>
      </c>
      <c r="J165" s="14">
        <f>74993489624</f>
      </c>
      <c r="K165" s="9"/>
      <c r="L165" s="13" t="s">
        <v>131</v>
      </c>
      <c r="M165" s="14">
        <v>66</v>
      </c>
      <c r="N165" s="13" t="s">
        <v>132</v>
      </c>
      <c r="O165" s="13" t="s">
        <v>32</v>
      </c>
      <c r="P165" s="13" t="s">
        <v>32</v>
      </c>
      <c r="Q165" s="14" t="s">
        <v>878</v>
      </c>
      <c r="R165" s="13" t="s">
        <v>33</v>
      </c>
      <c r="S165" s="13" t="s">
        <v>34</v>
      </c>
      <c r="T165" s="15">
        <v>0</v>
      </c>
      <c r="U165" s="13" t="s">
        <v>48</v>
      </c>
      <c r="V165" s="15" t="s">
        <v>64</v>
      </c>
      <c r="W165" s="13" t="s">
        <v>48</v>
      </c>
      <c r="X165" s="15" t="s">
        <v>36</v>
      </c>
      <c r="Y165" s="13" t="s">
        <v>37</v>
      </c>
    </row>
    <row x14ac:dyDescent="0.25" r="166" customHeight="1" ht="18.75">
      <c r="A166" s="5">
        <v>74021005</v>
      </c>
      <c r="B166" s="6">
        <v>530</v>
      </c>
      <c r="C166" s="7" t="s">
        <v>879</v>
      </c>
      <c r="D166" s="7" t="s">
        <v>880</v>
      </c>
      <c r="E166" s="8">
        <v>74021005</v>
      </c>
      <c r="F166" s="8">
        <v>530</v>
      </c>
      <c r="G166" s="7" t="s">
        <v>27</v>
      </c>
      <c r="H166" s="7" t="s">
        <v>881</v>
      </c>
      <c r="I166" s="7" t="s">
        <v>882</v>
      </c>
      <c r="J166" s="8">
        <f>79312011908</f>
      </c>
      <c r="K166" s="9"/>
      <c r="L166" s="7" t="s">
        <v>54</v>
      </c>
      <c r="M166" s="8">
        <v>188</v>
      </c>
      <c r="N166" s="7" t="s">
        <v>55</v>
      </c>
      <c r="O166" s="7" t="s">
        <v>56</v>
      </c>
      <c r="P166" s="7" t="s">
        <v>57</v>
      </c>
      <c r="Q166" s="8" t="s">
        <v>883</v>
      </c>
      <c r="R166" s="7" t="s">
        <v>33</v>
      </c>
      <c r="S166" s="7" t="s">
        <v>34</v>
      </c>
      <c r="T166" s="10">
        <v>0</v>
      </c>
      <c r="U166" s="7"/>
      <c r="V166" s="10">
        <v>0</v>
      </c>
      <c r="W166" s="7" t="s">
        <v>48</v>
      </c>
      <c r="X166" s="10" t="s">
        <v>36</v>
      </c>
      <c r="Y166" s="7" t="s">
        <v>37</v>
      </c>
    </row>
    <row x14ac:dyDescent="0.25" r="167" customHeight="1" ht="18.75">
      <c r="A167" s="11">
        <v>74021008</v>
      </c>
      <c r="B167" s="12">
        <v>533</v>
      </c>
      <c r="C167" s="13" t="s">
        <v>884</v>
      </c>
      <c r="D167" s="13" t="s">
        <v>885</v>
      </c>
      <c r="E167" s="14">
        <v>74021008</v>
      </c>
      <c r="F167" s="14">
        <v>533</v>
      </c>
      <c r="G167" s="13" t="s">
        <v>27</v>
      </c>
      <c r="H167" s="13" t="s">
        <v>886</v>
      </c>
      <c r="I167" s="13" t="s">
        <v>887</v>
      </c>
      <c r="J167" s="14">
        <f>74991617933</f>
      </c>
      <c r="K167" s="9"/>
      <c r="L167" s="13" t="s">
        <v>388</v>
      </c>
      <c r="M167" s="14">
        <v>246</v>
      </c>
      <c r="N167" s="13" t="s">
        <v>888</v>
      </c>
      <c r="O167" s="13" t="s">
        <v>32</v>
      </c>
      <c r="P167" s="13" t="s">
        <v>32</v>
      </c>
      <c r="Q167" s="14" t="s">
        <v>889</v>
      </c>
      <c r="R167" s="13" t="s">
        <v>33</v>
      </c>
      <c r="S167" s="13" t="s">
        <v>34</v>
      </c>
      <c r="T167" s="15">
        <v>0</v>
      </c>
      <c r="U167" s="13" t="s">
        <v>48</v>
      </c>
      <c r="V167" s="15" t="s">
        <v>64</v>
      </c>
      <c r="W167" s="13" t="s">
        <v>48</v>
      </c>
      <c r="X167" s="15" t="s">
        <v>36</v>
      </c>
      <c r="Y167" s="13" t="s">
        <v>37</v>
      </c>
    </row>
    <row x14ac:dyDescent="0.25" r="168" customHeight="1" ht="18.75">
      <c r="A168" s="5">
        <v>74021010</v>
      </c>
      <c r="B168" s="6">
        <v>535</v>
      </c>
      <c r="C168" s="7" t="s">
        <v>890</v>
      </c>
      <c r="D168" s="7" t="s">
        <v>891</v>
      </c>
      <c r="E168" s="8">
        <v>74021010</v>
      </c>
      <c r="F168" s="8">
        <v>535</v>
      </c>
      <c r="G168" s="7" t="s">
        <v>27</v>
      </c>
      <c r="H168" s="7" t="s">
        <v>892</v>
      </c>
      <c r="I168" s="7" t="s">
        <v>893</v>
      </c>
      <c r="J168" s="8">
        <f>74951980949</f>
      </c>
      <c r="K168" s="9"/>
      <c r="L168" s="7" t="s">
        <v>80</v>
      </c>
      <c r="M168" s="8">
        <v>241</v>
      </c>
      <c r="N168" s="7" t="s">
        <v>894</v>
      </c>
      <c r="O168" s="7" t="s">
        <v>32</v>
      </c>
      <c r="P168" s="7" t="s">
        <v>32</v>
      </c>
      <c r="Q168" s="8" t="s">
        <v>58</v>
      </c>
      <c r="R168" s="7" t="s">
        <v>33</v>
      </c>
      <c r="S168" s="7" t="s">
        <v>34</v>
      </c>
      <c r="T168" s="10">
        <v>0</v>
      </c>
      <c r="U168" s="7" t="s">
        <v>48</v>
      </c>
      <c r="V168" s="10" t="s">
        <v>64</v>
      </c>
      <c r="W168" s="7" t="s">
        <v>35</v>
      </c>
      <c r="X168" s="10" t="s">
        <v>895</v>
      </c>
      <c r="Y168" s="7" t="s">
        <v>37</v>
      </c>
    </row>
    <row x14ac:dyDescent="0.25" r="169" customHeight="1" ht="18.75">
      <c r="A169" s="11">
        <v>74021012</v>
      </c>
      <c r="B169" s="12">
        <v>537</v>
      </c>
      <c r="C169" s="13" t="s">
        <v>896</v>
      </c>
      <c r="D169" s="13" t="s">
        <v>897</v>
      </c>
      <c r="E169" s="14">
        <v>74021012</v>
      </c>
      <c r="F169" s="14">
        <v>537</v>
      </c>
      <c r="G169" s="13" t="s">
        <v>27</v>
      </c>
      <c r="H169" s="13" t="s">
        <v>898</v>
      </c>
      <c r="I169" s="13" t="s">
        <v>899</v>
      </c>
      <c r="J169" s="14">
        <f>79636300790</f>
      </c>
      <c r="K169" s="9"/>
      <c r="L169" s="13" t="s">
        <v>30</v>
      </c>
      <c r="M169" s="14">
        <v>56</v>
      </c>
      <c r="N169" s="13" t="s">
        <v>31</v>
      </c>
      <c r="O169" s="13" t="s">
        <v>32</v>
      </c>
      <c r="P169" s="13" t="s">
        <v>32</v>
      </c>
      <c r="Q169" s="14" t="s">
        <v>58</v>
      </c>
      <c r="R169" s="13" t="s">
        <v>33</v>
      </c>
      <c r="S169" s="13" t="s">
        <v>34</v>
      </c>
      <c r="T169" s="15">
        <v>0</v>
      </c>
      <c r="U169" s="13" t="s">
        <v>48</v>
      </c>
      <c r="V169" s="15" t="s">
        <v>64</v>
      </c>
      <c r="W169" s="13" t="s">
        <v>48</v>
      </c>
      <c r="X169" s="15" t="s">
        <v>36</v>
      </c>
      <c r="Y169" s="13" t="s">
        <v>37</v>
      </c>
    </row>
    <row x14ac:dyDescent="0.25" r="170" customHeight="1" ht="18.75">
      <c r="A170" s="5">
        <v>74021015</v>
      </c>
      <c r="B170" s="6">
        <v>540</v>
      </c>
      <c r="C170" s="7" t="s">
        <v>900</v>
      </c>
      <c r="D170" s="7" t="s">
        <v>901</v>
      </c>
      <c r="E170" s="8">
        <v>74021015</v>
      </c>
      <c r="F170" s="8">
        <v>540</v>
      </c>
      <c r="G170" s="7" t="s">
        <v>27</v>
      </c>
      <c r="H170" s="7" t="s">
        <v>902</v>
      </c>
      <c r="I170" s="7" t="s">
        <v>903</v>
      </c>
      <c r="J170" s="8">
        <f>79265399363</f>
      </c>
      <c r="K170" s="9"/>
      <c r="L170" s="7" t="s">
        <v>544</v>
      </c>
      <c r="M170" s="8">
        <v>74</v>
      </c>
      <c r="N170" s="7" t="s">
        <v>545</v>
      </c>
      <c r="O170" s="7" t="s">
        <v>82</v>
      </c>
      <c r="P170" s="7" t="s">
        <v>904</v>
      </c>
      <c r="Q170" s="8" t="s">
        <v>905</v>
      </c>
      <c r="R170" s="7" t="s">
        <v>33</v>
      </c>
      <c r="S170" s="7" t="s">
        <v>34</v>
      </c>
      <c r="T170" s="10">
        <v>0</v>
      </c>
      <c r="U170" s="7"/>
      <c r="V170" s="10">
        <v>0</v>
      </c>
      <c r="W170" s="7" t="s">
        <v>48</v>
      </c>
      <c r="X170" s="10" t="s">
        <v>36</v>
      </c>
      <c r="Y170" s="7" t="s">
        <v>37</v>
      </c>
    </row>
    <row x14ac:dyDescent="0.25" r="171" customHeight="1" ht="18.75">
      <c r="A171" s="11">
        <v>74021017</v>
      </c>
      <c r="B171" s="12">
        <v>541</v>
      </c>
      <c r="C171" s="13" t="s">
        <v>906</v>
      </c>
      <c r="D171" s="13" t="s">
        <v>907</v>
      </c>
      <c r="E171" s="14">
        <v>74021017</v>
      </c>
      <c r="F171" s="14">
        <v>541</v>
      </c>
      <c r="G171" s="13" t="s">
        <v>27</v>
      </c>
      <c r="H171" s="13" t="s">
        <v>908</v>
      </c>
      <c r="I171" s="13" t="s">
        <v>909</v>
      </c>
      <c r="J171" s="14">
        <f>73414750117</f>
      </c>
      <c r="K171" s="9"/>
      <c r="L171" s="13" t="s">
        <v>42</v>
      </c>
      <c r="M171" s="14">
        <v>100</v>
      </c>
      <c r="N171" s="13" t="s">
        <v>910</v>
      </c>
      <c r="O171" s="13" t="s">
        <v>44</v>
      </c>
      <c r="P171" s="13" t="s">
        <v>911</v>
      </c>
      <c r="Q171" s="14" t="s">
        <v>907</v>
      </c>
      <c r="R171" s="13" t="s">
        <v>33</v>
      </c>
      <c r="S171" s="13" t="s">
        <v>34</v>
      </c>
      <c r="T171" s="15">
        <v>0</v>
      </c>
      <c r="U171" s="13" t="s">
        <v>48</v>
      </c>
      <c r="V171" s="15" t="s">
        <v>64</v>
      </c>
      <c r="W171" s="13" t="s">
        <v>48</v>
      </c>
      <c r="X171" s="15" t="s">
        <v>36</v>
      </c>
      <c r="Y171" s="13" t="s">
        <v>37</v>
      </c>
    </row>
    <row x14ac:dyDescent="0.25" r="172" customHeight="1" ht="18.75">
      <c r="A172" s="5">
        <v>74021025</v>
      </c>
      <c r="B172" s="6">
        <v>548</v>
      </c>
      <c r="C172" s="7" t="s">
        <v>912</v>
      </c>
      <c r="D172" s="7" t="s">
        <v>913</v>
      </c>
      <c r="E172" s="8">
        <v>74021025</v>
      </c>
      <c r="F172" s="8">
        <v>548</v>
      </c>
      <c r="G172" s="7" t="s">
        <v>27</v>
      </c>
      <c r="H172" s="7" t="s">
        <v>914</v>
      </c>
      <c r="I172" s="7" t="s">
        <v>915</v>
      </c>
      <c r="J172" s="8">
        <f>78412235888</f>
      </c>
      <c r="K172" s="8">
        <v>240</v>
      </c>
      <c r="L172" s="7" t="s">
        <v>146</v>
      </c>
      <c r="M172" s="8">
        <v>53</v>
      </c>
      <c r="N172" s="7" t="s">
        <v>147</v>
      </c>
      <c r="O172" s="7" t="s">
        <v>44</v>
      </c>
      <c r="P172" s="7" t="s">
        <v>148</v>
      </c>
      <c r="Q172" s="8" t="s">
        <v>916</v>
      </c>
      <c r="R172" s="7" t="s">
        <v>33</v>
      </c>
      <c r="S172" s="7" t="s">
        <v>34</v>
      </c>
      <c r="T172" s="10">
        <v>0</v>
      </c>
      <c r="U172" s="7" t="s">
        <v>48</v>
      </c>
      <c r="V172" s="10" t="s">
        <v>64</v>
      </c>
      <c r="W172" s="7" t="s">
        <v>48</v>
      </c>
      <c r="X172" s="10" t="s">
        <v>36</v>
      </c>
      <c r="Y172" s="7" t="s">
        <v>84</v>
      </c>
    </row>
    <row x14ac:dyDescent="0.25" r="173" customHeight="1" ht="18.75">
      <c r="A173" s="11">
        <v>74021026</v>
      </c>
      <c r="B173" s="12">
        <v>549</v>
      </c>
      <c r="C173" s="13" t="s">
        <v>917</v>
      </c>
      <c r="D173" s="13" t="s">
        <v>918</v>
      </c>
      <c r="E173" s="14">
        <v>74021026</v>
      </c>
      <c r="F173" s="14">
        <v>549</v>
      </c>
      <c r="G173" s="13" t="s">
        <v>27</v>
      </c>
      <c r="H173" s="13" t="s">
        <v>919</v>
      </c>
      <c r="I173" s="13" t="s">
        <v>920</v>
      </c>
      <c r="J173" s="14">
        <f>73532540444</f>
      </c>
      <c r="K173" s="14">
        <v>1019</v>
      </c>
      <c r="L173" s="13" t="s">
        <v>94</v>
      </c>
      <c r="M173" s="14">
        <v>49</v>
      </c>
      <c r="N173" s="13" t="s">
        <v>921</v>
      </c>
      <c r="O173" s="13" t="s">
        <v>96</v>
      </c>
      <c r="P173" s="13" t="s">
        <v>220</v>
      </c>
      <c r="Q173" s="14" t="s">
        <v>58</v>
      </c>
      <c r="R173" s="13" t="s">
        <v>33</v>
      </c>
      <c r="S173" s="13" t="s">
        <v>34</v>
      </c>
      <c r="T173" s="15">
        <v>0</v>
      </c>
      <c r="U173" s="13" t="s">
        <v>48</v>
      </c>
      <c r="V173" s="15" t="s">
        <v>64</v>
      </c>
      <c r="W173" s="13" t="s">
        <v>48</v>
      </c>
      <c r="X173" s="15" t="s">
        <v>65</v>
      </c>
      <c r="Y173" s="13" t="s">
        <v>37</v>
      </c>
    </row>
    <row x14ac:dyDescent="0.25" r="174" customHeight="1" ht="18.75">
      <c r="A174" s="5">
        <v>74021028</v>
      </c>
      <c r="B174" s="6">
        <v>551</v>
      </c>
      <c r="C174" s="7" t="s">
        <v>922</v>
      </c>
      <c r="D174" s="7" t="s">
        <v>923</v>
      </c>
      <c r="E174" s="8">
        <v>74021028</v>
      </c>
      <c r="F174" s="8">
        <v>551</v>
      </c>
      <c r="G174" s="7" t="s">
        <v>27</v>
      </c>
      <c r="H174" s="7" t="s">
        <v>924</v>
      </c>
      <c r="I174" s="7" t="s">
        <v>925</v>
      </c>
      <c r="J174" s="8">
        <f>79310061140</f>
      </c>
      <c r="K174" s="9"/>
      <c r="L174" s="7" t="s">
        <v>54</v>
      </c>
      <c r="M174" s="8">
        <v>188</v>
      </c>
      <c r="N174" s="7" t="s">
        <v>55</v>
      </c>
      <c r="O174" s="7" t="s">
        <v>56</v>
      </c>
      <c r="P174" s="7" t="s">
        <v>57</v>
      </c>
      <c r="Q174" s="8" t="s">
        <v>58</v>
      </c>
      <c r="R174" s="7" t="s">
        <v>33</v>
      </c>
      <c r="S174" s="7" t="s">
        <v>34</v>
      </c>
      <c r="T174" s="10">
        <v>0</v>
      </c>
      <c r="U174" s="7"/>
      <c r="V174" s="10">
        <v>0</v>
      </c>
      <c r="W174" s="7" t="s">
        <v>48</v>
      </c>
      <c r="X174" s="10" t="s">
        <v>36</v>
      </c>
      <c r="Y174" s="7" t="s">
        <v>37</v>
      </c>
    </row>
    <row x14ac:dyDescent="0.25" r="175" customHeight="1" ht="18.75">
      <c r="A175" s="11">
        <v>74021029</v>
      </c>
      <c r="B175" s="12">
        <v>552</v>
      </c>
      <c r="C175" s="13" t="s">
        <v>926</v>
      </c>
      <c r="D175" s="13" t="s">
        <v>927</v>
      </c>
      <c r="E175" s="14">
        <v>74021029</v>
      </c>
      <c r="F175" s="14">
        <v>552</v>
      </c>
      <c r="G175" s="13" t="s">
        <v>27</v>
      </c>
      <c r="H175" s="13" t="s">
        <v>928</v>
      </c>
      <c r="I175" s="13" t="s">
        <v>929</v>
      </c>
      <c r="J175" s="14">
        <f>79310057163</f>
      </c>
      <c r="K175" s="9"/>
      <c r="L175" s="13" t="s">
        <v>54</v>
      </c>
      <c r="M175" s="14">
        <v>188</v>
      </c>
      <c r="N175" s="13" t="s">
        <v>55</v>
      </c>
      <c r="O175" s="13" t="s">
        <v>56</v>
      </c>
      <c r="P175" s="13" t="s">
        <v>57</v>
      </c>
      <c r="Q175" s="14" t="s">
        <v>58</v>
      </c>
      <c r="R175" s="13" t="s">
        <v>33</v>
      </c>
      <c r="S175" s="13" t="s">
        <v>34</v>
      </c>
      <c r="T175" s="15">
        <v>0</v>
      </c>
      <c r="U175" s="13"/>
      <c r="V175" s="15">
        <v>0</v>
      </c>
      <c r="W175" s="13" t="s">
        <v>48</v>
      </c>
      <c r="X175" s="15" t="s">
        <v>36</v>
      </c>
      <c r="Y175" s="13" t="s">
        <v>84</v>
      </c>
    </row>
    <row x14ac:dyDescent="0.25" r="176" customHeight="1" ht="18.75">
      <c r="A176" s="5">
        <v>74021030</v>
      </c>
      <c r="B176" s="6">
        <v>553</v>
      </c>
      <c r="C176" s="7" t="s">
        <v>930</v>
      </c>
      <c r="D176" s="7" t="s">
        <v>931</v>
      </c>
      <c r="E176" s="8">
        <v>74021030</v>
      </c>
      <c r="F176" s="8">
        <v>553</v>
      </c>
      <c r="G176" s="7" t="s">
        <v>27</v>
      </c>
      <c r="H176" s="7" t="s">
        <v>932</v>
      </c>
      <c r="I176" s="7" t="s">
        <v>933</v>
      </c>
      <c r="J176" s="8">
        <f>79274578370</f>
      </c>
      <c r="K176" s="9"/>
      <c r="L176" s="7" t="s">
        <v>54</v>
      </c>
      <c r="M176" s="8">
        <v>188</v>
      </c>
      <c r="N176" s="7" t="s">
        <v>55</v>
      </c>
      <c r="O176" s="7" t="s">
        <v>44</v>
      </c>
      <c r="P176" s="7" t="s">
        <v>292</v>
      </c>
      <c r="Q176" s="8" t="s">
        <v>182</v>
      </c>
      <c r="R176" s="7" t="s">
        <v>33</v>
      </c>
      <c r="S176" s="7" t="s">
        <v>34</v>
      </c>
      <c r="T176" s="10">
        <v>0</v>
      </c>
      <c r="U176" s="7"/>
      <c r="V176" s="10">
        <v>0</v>
      </c>
      <c r="W176" s="7" t="s">
        <v>48</v>
      </c>
      <c r="X176" s="10" t="s">
        <v>65</v>
      </c>
      <c r="Y176" s="7" t="s">
        <v>66</v>
      </c>
    </row>
    <row x14ac:dyDescent="0.25" r="177" customHeight="1" ht="18.75">
      <c r="A177" s="11">
        <v>74021049</v>
      </c>
      <c r="B177" s="12">
        <v>571</v>
      </c>
      <c r="C177" s="13" t="s">
        <v>934</v>
      </c>
      <c r="D177" s="13" t="s">
        <v>935</v>
      </c>
      <c r="E177" s="14">
        <v>74021049</v>
      </c>
      <c r="F177" s="14">
        <v>571</v>
      </c>
      <c r="G177" s="13" t="s">
        <v>27</v>
      </c>
      <c r="H177" s="13" t="s">
        <v>936</v>
      </c>
      <c r="I177" s="13" t="s">
        <v>937</v>
      </c>
      <c r="J177" s="14">
        <f>74993808642</f>
      </c>
      <c r="K177" s="14">
        <v>412</v>
      </c>
      <c r="L177" s="13" t="s">
        <v>131</v>
      </c>
      <c r="M177" s="14">
        <v>66</v>
      </c>
      <c r="N177" s="13" t="s">
        <v>132</v>
      </c>
      <c r="O177" s="13" t="s">
        <v>32</v>
      </c>
      <c r="P177" s="13" t="s">
        <v>32</v>
      </c>
      <c r="Q177" s="14" t="s">
        <v>938</v>
      </c>
      <c r="R177" s="13" t="s">
        <v>33</v>
      </c>
      <c r="S177" s="13" t="s">
        <v>34</v>
      </c>
      <c r="T177" s="15">
        <v>0</v>
      </c>
      <c r="U177" s="13" t="s">
        <v>48</v>
      </c>
      <c r="V177" s="15" t="s">
        <v>64</v>
      </c>
      <c r="W177" s="13" t="s">
        <v>48</v>
      </c>
      <c r="X177" s="15" t="s">
        <v>36</v>
      </c>
      <c r="Y177" s="13" t="s">
        <v>37</v>
      </c>
    </row>
    <row x14ac:dyDescent="0.25" r="178" customHeight="1" ht="18.75">
      <c r="A178" s="5">
        <v>74021051</v>
      </c>
      <c r="B178" s="6">
        <v>573</v>
      </c>
      <c r="C178" s="7" t="s">
        <v>939</v>
      </c>
      <c r="D178" s="7" t="s">
        <v>940</v>
      </c>
      <c r="E178" s="8">
        <v>74021051</v>
      </c>
      <c r="F178" s="8">
        <v>573</v>
      </c>
      <c r="G178" s="7" t="s">
        <v>27</v>
      </c>
      <c r="H178" s="7" t="s">
        <v>941</v>
      </c>
      <c r="I178" s="7" t="s">
        <v>942</v>
      </c>
      <c r="J178" s="8">
        <f>79310041277</f>
      </c>
      <c r="K178" s="9"/>
      <c r="L178" s="7" t="s">
        <v>54</v>
      </c>
      <c r="M178" s="8">
        <v>188</v>
      </c>
      <c r="N178" s="7" t="s">
        <v>55</v>
      </c>
      <c r="O178" s="7" t="s">
        <v>56</v>
      </c>
      <c r="P178" s="7" t="s">
        <v>57</v>
      </c>
      <c r="Q178" s="8" t="s">
        <v>58</v>
      </c>
      <c r="R178" s="7" t="s">
        <v>33</v>
      </c>
      <c r="S178" s="7" t="s">
        <v>34</v>
      </c>
      <c r="T178" s="10">
        <v>0</v>
      </c>
      <c r="U178" s="7"/>
      <c r="V178" s="10">
        <v>0</v>
      </c>
      <c r="W178" s="7" t="s">
        <v>48</v>
      </c>
      <c r="X178" s="10" t="s">
        <v>36</v>
      </c>
      <c r="Y178" s="7" t="s">
        <v>37</v>
      </c>
    </row>
    <row x14ac:dyDescent="0.25" r="179" customHeight="1" ht="18.75">
      <c r="A179" s="11">
        <v>74021052</v>
      </c>
      <c r="B179" s="12">
        <v>574</v>
      </c>
      <c r="C179" s="13" t="s">
        <v>943</v>
      </c>
      <c r="D179" s="13" t="s">
        <v>944</v>
      </c>
      <c r="E179" s="14">
        <v>74021052</v>
      </c>
      <c r="F179" s="14">
        <v>574</v>
      </c>
      <c r="G179" s="13" t="s">
        <v>27</v>
      </c>
      <c r="H179" s="13" t="s">
        <v>945</v>
      </c>
      <c r="I179" s="13" t="s">
        <v>946</v>
      </c>
      <c r="J179" s="14">
        <f>79312574051</f>
      </c>
      <c r="K179" s="9"/>
      <c r="L179" s="13" t="s">
        <v>54</v>
      </c>
      <c r="M179" s="14">
        <v>188</v>
      </c>
      <c r="N179" s="13" t="s">
        <v>55</v>
      </c>
      <c r="O179" s="13" t="s">
        <v>56</v>
      </c>
      <c r="P179" s="13" t="s">
        <v>57</v>
      </c>
      <c r="Q179" s="14" t="s">
        <v>58</v>
      </c>
      <c r="R179" s="13" t="s">
        <v>33</v>
      </c>
      <c r="S179" s="13" t="s">
        <v>34</v>
      </c>
      <c r="T179" s="15">
        <v>0</v>
      </c>
      <c r="U179" s="13"/>
      <c r="V179" s="15">
        <v>0</v>
      </c>
      <c r="W179" s="13" t="s">
        <v>48</v>
      </c>
      <c r="X179" s="15" t="s">
        <v>36</v>
      </c>
      <c r="Y179" s="13" t="s">
        <v>59</v>
      </c>
    </row>
    <row x14ac:dyDescent="0.25" r="180" customHeight="1" ht="18.75">
      <c r="A180" s="5">
        <v>74021053</v>
      </c>
      <c r="B180" s="6">
        <v>575</v>
      </c>
      <c r="C180" s="7" t="s">
        <v>947</v>
      </c>
      <c r="D180" s="7" t="s">
        <v>948</v>
      </c>
      <c r="E180" s="8">
        <v>74021053</v>
      </c>
      <c r="F180" s="8">
        <v>575</v>
      </c>
      <c r="G180" s="7" t="s">
        <v>27</v>
      </c>
      <c r="H180" s="7" t="s">
        <v>949</v>
      </c>
      <c r="I180" s="7" t="s">
        <v>950</v>
      </c>
      <c r="J180" s="8">
        <f>79250051689</f>
      </c>
      <c r="K180" s="9"/>
      <c r="L180" s="7" t="s">
        <v>54</v>
      </c>
      <c r="M180" s="8">
        <v>188</v>
      </c>
      <c r="N180" s="7" t="s">
        <v>55</v>
      </c>
      <c r="O180" s="7" t="s">
        <v>32</v>
      </c>
      <c r="P180" s="7" t="s">
        <v>32</v>
      </c>
      <c r="Q180" s="8" t="s">
        <v>58</v>
      </c>
      <c r="R180" s="7" t="s">
        <v>33</v>
      </c>
      <c r="S180" s="7" t="s">
        <v>34</v>
      </c>
      <c r="T180" s="10">
        <v>0</v>
      </c>
      <c r="U180" s="7"/>
      <c r="V180" s="10">
        <v>0</v>
      </c>
      <c r="W180" s="7" t="s">
        <v>48</v>
      </c>
      <c r="X180" s="10" t="s">
        <v>36</v>
      </c>
      <c r="Y180" s="7" t="s">
        <v>84</v>
      </c>
    </row>
    <row x14ac:dyDescent="0.25" r="181" customHeight="1" ht="18.75">
      <c r="A181" s="11">
        <v>74021054</v>
      </c>
      <c r="B181" s="12">
        <v>576</v>
      </c>
      <c r="C181" s="13" t="s">
        <v>951</v>
      </c>
      <c r="D181" s="13" t="s">
        <v>952</v>
      </c>
      <c r="E181" s="14">
        <v>74021054</v>
      </c>
      <c r="F181" s="14">
        <v>576</v>
      </c>
      <c r="G181" s="13" t="s">
        <v>27</v>
      </c>
      <c r="H181" s="13" t="s">
        <v>953</v>
      </c>
      <c r="I181" s="13" t="s">
        <v>954</v>
      </c>
      <c r="J181" s="14">
        <f>79250753690</f>
      </c>
      <c r="K181" s="9"/>
      <c r="L181" s="13" t="s">
        <v>54</v>
      </c>
      <c r="M181" s="14">
        <v>188</v>
      </c>
      <c r="N181" s="13" t="s">
        <v>55</v>
      </c>
      <c r="O181" s="13" t="s">
        <v>82</v>
      </c>
      <c r="P181" s="13" t="s">
        <v>268</v>
      </c>
      <c r="Q181" s="14" t="s">
        <v>58</v>
      </c>
      <c r="R181" s="13" t="s">
        <v>33</v>
      </c>
      <c r="S181" s="13" t="s">
        <v>34</v>
      </c>
      <c r="T181" s="15">
        <v>0</v>
      </c>
      <c r="U181" s="13"/>
      <c r="V181" s="15">
        <v>0</v>
      </c>
      <c r="W181" s="13" t="s">
        <v>48</v>
      </c>
      <c r="X181" s="15" t="s">
        <v>36</v>
      </c>
      <c r="Y181" s="13" t="s">
        <v>84</v>
      </c>
    </row>
    <row x14ac:dyDescent="0.25" r="182" customHeight="1" ht="18.75">
      <c r="A182" s="5">
        <v>74021060</v>
      </c>
      <c r="B182" s="6">
        <v>580</v>
      </c>
      <c r="C182" s="7" t="s">
        <v>955</v>
      </c>
      <c r="D182" s="7" t="s">
        <v>956</v>
      </c>
      <c r="E182" s="8">
        <v>74021060</v>
      </c>
      <c r="F182" s="8">
        <v>580</v>
      </c>
      <c r="G182" s="7" t="s">
        <v>27</v>
      </c>
      <c r="H182" s="7" t="s">
        <v>957</v>
      </c>
      <c r="I182" s="7" t="s">
        <v>958</v>
      </c>
      <c r="J182" s="8">
        <f>79674042542</f>
      </c>
      <c r="K182" s="9"/>
      <c r="L182" s="7" t="s">
        <v>117</v>
      </c>
      <c r="M182" s="8">
        <v>210</v>
      </c>
      <c r="N182" s="7" t="s">
        <v>118</v>
      </c>
      <c r="O182" s="7" t="s">
        <v>119</v>
      </c>
      <c r="P182" s="7" t="s">
        <v>806</v>
      </c>
      <c r="Q182" s="8" t="s">
        <v>58</v>
      </c>
      <c r="R182" s="7" t="s">
        <v>33</v>
      </c>
      <c r="S182" s="7" t="s">
        <v>34</v>
      </c>
      <c r="T182" s="10">
        <v>0</v>
      </c>
      <c r="U182" s="7" t="s">
        <v>48</v>
      </c>
      <c r="V182" s="10" t="s">
        <v>64</v>
      </c>
      <c r="W182" s="7" t="s">
        <v>35</v>
      </c>
      <c r="X182" s="10" t="s">
        <v>895</v>
      </c>
      <c r="Y182" s="7" t="s">
        <v>37</v>
      </c>
    </row>
    <row x14ac:dyDescent="0.25" r="183" customHeight="1" ht="18.75">
      <c r="A183" s="11">
        <v>74021061</v>
      </c>
      <c r="B183" s="12">
        <v>583</v>
      </c>
      <c r="C183" s="13" t="s">
        <v>959</v>
      </c>
      <c r="D183" s="13" t="s">
        <v>960</v>
      </c>
      <c r="E183" s="14">
        <v>74021061</v>
      </c>
      <c r="F183" s="14">
        <v>583</v>
      </c>
      <c r="G183" s="13" t="s">
        <v>27</v>
      </c>
      <c r="H183" s="13" t="s">
        <v>961</v>
      </c>
      <c r="I183" s="13" t="s">
        <v>962</v>
      </c>
      <c r="J183" s="14">
        <f>79624954895</f>
      </c>
      <c r="K183" s="9"/>
      <c r="L183" s="13" t="s">
        <v>117</v>
      </c>
      <c r="M183" s="14">
        <v>210</v>
      </c>
      <c r="N183" s="13" t="s">
        <v>118</v>
      </c>
      <c r="O183" s="13" t="s">
        <v>119</v>
      </c>
      <c r="P183" s="13" t="s">
        <v>963</v>
      </c>
      <c r="Q183" s="14" t="s">
        <v>58</v>
      </c>
      <c r="R183" s="13" t="s">
        <v>33</v>
      </c>
      <c r="S183" s="13" t="s">
        <v>34</v>
      </c>
      <c r="T183" s="15">
        <v>0</v>
      </c>
      <c r="U183" s="13" t="s">
        <v>48</v>
      </c>
      <c r="V183" s="15" t="s">
        <v>64</v>
      </c>
      <c r="W183" s="13" t="s">
        <v>35</v>
      </c>
      <c r="X183" s="15" t="s">
        <v>895</v>
      </c>
      <c r="Y183" s="13" t="s">
        <v>59</v>
      </c>
    </row>
    <row x14ac:dyDescent="0.25" r="184" customHeight="1" ht="18.75">
      <c r="A184" s="5">
        <v>74021062</v>
      </c>
      <c r="B184" s="6">
        <v>584</v>
      </c>
      <c r="C184" s="7" t="s">
        <v>964</v>
      </c>
      <c r="D184" s="7" t="s">
        <v>965</v>
      </c>
      <c r="E184" s="8">
        <v>74021062</v>
      </c>
      <c r="F184" s="8">
        <v>584</v>
      </c>
      <c r="G184" s="7" t="s">
        <v>27</v>
      </c>
      <c r="H184" s="7" t="s">
        <v>966</v>
      </c>
      <c r="I184" s="7" t="s">
        <v>967</v>
      </c>
      <c r="J184" s="8">
        <f>73412912014</f>
      </c>
      <c r="K184" s="9"/>
      <c r="L184" s="7" t="s">
        <v>42</v>
      </c>
      <c r="M184" s="8">
        <v>132</v>
      </c>
      <c r="N184" s="7" t="s">
        <v>820</v>
      </c>
      <c r="O184" s="7" t="s">
        <v>44</v>
      </c>
      <c r="P184" s="7" t="s">
        <v>45</v>
      </c>
      <c r="Q184" s="8" t="s">
        <v>968</v>
      </c>
      <c r="R184" s="7" t="s">
        <v>33</v>
      </c>
      <c r="S184" s="7" t="s">
        <v>34</v>
      </c>
      <c r="T184" s="10">
        <v>0</v>
      </c>
      <c r="U184" s="7" t="s">
        <v>48</v>
      </c>
      <c r="V184" s="10" t="s">
        <v>64</v>
      </c>
      <c r="W184" s="7" t="s">
        <v>48</v>
      </c>
      <c r="X184" s="10" t="s">
        <v>36</v>
      </c>
      <c r="Y184" s="7" t="s">
        <v>126</v>
      </c>
    </row>
    <row x14ac:dyDescent="0.25" r="185" customHeight="1" ht="18.75">
      <c r="A185" s="11">
        <v>74021063</v>
      </c>
      <c r="B185" s="12">
        <v>585</v>
      </c>
      <c r="C185" s="13" t="s">
        <v>969</v>
      </c>
      <c r="D185" s="13" t="s">
        <v>970</v>
      </c>
      <c r="E185" s="14">
        <v>74021063</v>
      </c>
      <c r="F185" s="14">
        <v>585</v>
      </c>
      <c r="G185" s="13" t="s">
        <v>27</v>
      </c>
      <c r="H185" s="13" t="s">
        <v>971</v>
      </c>
      <c r="I185" s="13" t="s">
        <v>972</v>
      </c>
      <c r="J185" s="14">
        <f>79312573978</f>
      </c>
      <c r="K185" s="9"/>
      <c r="L185" s="13" t="s">
        <v>54</v>
      </c>
      <c r="M185" s="14">
        <v>188</v>
      </c>
      <c r="N185" s="13" t="s">
        <v>55</v>
      </c>
      <c r="O185" s="13" t="s">
        <v>56</v>
      </c>
      <c r="P185" s="13" t="s">
        <v>57</v>
      </c>
      <c r="Q185" s="14" t="s">
        <v>58</v>
      </c>
      <c r="R185" s="13" t="s">
        <v>33</v>
      </c>
      <c r="S185" s="13" t="s">
        <v>34</v>
      </c>
      <c r="T185" s="15">
        <v>0</v>
      </c>
      <c r="U185" s="13"/>
      <c r="V185" s="15">
        <v>0</v>
      </c>
      <c r="W185" s="13" t="s">
        <v>48</v>
      </c>
      <c r="X185" s="15" t="s">
        <v>36</v>
      </c>
      <c r="Y185" s="13" t="s">
        <v>84</v>
      </c>
    </row>
    <row x14ac:dyDescent="0.25" r="186" customHeight="1" ht="18.75">
      <c r="A186" s="5">
        <v>74021066</v>
      </c>
      <c r="B186" s="6">
        <v>587</v>
      </c>
      <c r="C186" s="7" t="s">
        <v>973</v>
      </c>
      <c r="D186" s="7" t="s">
        <v>974</v>
      </c>
      <c r="E186" s="8">
        <v>74021066</v>
      </c>
      <c r="F186" s="8">
        <v>587</v>
      </c>
      <c r="G186" s="7" t="s">
        <v>27</v>
      </c>
      <c r="H186" s="7" t="s">
        <v>975</v>
      </c>
      <c r="I186" s="7" t="s">
        <v>976</v>
      </c>
      <c r="J186" s="8">
        <f>73422009987</f>
      </c>
      <c r="K186" s="9"/>
      <c r="L186" s="7" t="s">
        <v>42</v>
      </c>
      <c r="M186" s="8">
        <v>86</v>
      </c>
      <c r="N186" s="7" t="s">
        <v>977</v>
      </c>
      <c r="O186" s="7" t="s">
        <v>96</v>
      </c>
      <c r="P186" s="7" t="s">
        <v>978</v>
      </c>
      <c r="Q186" s="8" t="s">
        <v>979</v>
      </c>
      <c r="R186" s="7" t="s">
        <v>33</v>
      </c>
      <c r="S186" s="7" t="s">
        <v>47</v>
      </c>
      <c r="T186" s="10">
        <v>4</v>
      </c>
      <c r="U186" s="7"/>
      <c r="V186" s="10">
        <v>0</v>
      </c>
      <c r="W186" s="7" t="s">
        <v>48</v>
      </c>
      <c r="X186" s="10" t="s">
        <v>36</v>
      </c>
      <c r="Y186" s="7" t="s">
        <v>126</v>
      </c>
    </row>
    <row x14ac:dyDescent="0.25" r="187" customHeight="1" ht="18.75">
      <c r="A187" s="11">
        <v>74021068</v>
      </c>
      <c r="B187" s="12">
        <v>590</v>
      </c>
      <c r="C187" s="13" t="s">
        <v>980</v>
      </c>
      <c r="D187" s="13" t="s">
        <v>981</v>
      </c>
      <c r="E187" s="14">
        <v>74021068</v>
      </c>
      <c r="F187" s="14">
        <v>590</v>
      </c>
      <c r="G187" s="13" t="s">
        <v>27</v>
      </c>
      <c r="H187" s="13" t="s">
        <v>982</v>
      </c>
      <c r="I187" s="13" t="s">
        <v>983</v>
      </c>
      <c r="J187" s="14">
        <f>79682668071</f>
      </c>
      <c r="K187" s="9"/>
      <c r="L187" s="13" t="s">
        <v>117</v>
      </c>
      <c r="M187" s="14">
        <v>210</v>
      </c>
      <c r="N187" s="13" t="s">
        <v>118</v>
      </c>
      <c r="O187" s="13" t="s">
        <v>119</v>
      </c>
      <c r="P187" s="13" t="s">
        <v>963</v>
      </c>
      <c r="Q187" s="14" t="s">
        <v>58</v>
      </c>
      <c r="R187" s="13" t="s">
        <v>33</v>
      </c>
      <c r="S187" s="13" t="s">
        <v>34</v>
      </c>
      <c r="T187" s="15">
        <v>0</v>
      </c>
      <c r="U187" s="13"/>
      <c r="V187" s="15">
        <v>0</v>
      </c>
      <c r="W187" s="13" t="s">
        <v>48</v>
      </c>
      <c r="X187" s="15" t="s">
        <v>36</v>
      </c>
      <c r="Y187" s="13" t="s">
        <v>126</v>
      </c>
    </row>
    <row x14ac:dyDescent="0.25" r="188" customHeight="1" ht="18.75">
      <c r="A188" s="5">
        <v>74021069</v>
      </c>
      <c r="B188" s="6">
        <v>591</v>
      </c>
      <c r="C188" s="7" t="s">
        <v>984</v>
      </c>
      <c r="D188" s="7" t="s">
        <v>985</v>
      </c>
      <c r="E188" s="8">
        <v>74021069</v>
      </c>
      <c r="F188" s="8">
        <v>591</v>
      </c>
      <c r="G188" s="7" t="s">
        <v>27</v>
      </c>
      <c r="H188" s="7" t="s">
        <v>986</v>
      </c>
      <c r="I188" s="7" t="s">
        <v>987</v>
      </c>
      <c r="J188" s="8">
        <f>79636305889</f>
      </c>
      <c r="K188" s="9"/>
      <c r="L188" s="7" t="s">
        <v>30</v>
      </c>
      <c r="M188" s="8">
        <v>56</v>
      </c>
      <c r="N188" s="7" t="s">
        <v>31</v>
      </c>
      <c r="O188" s="7" t="s">
        <v>32</v>
      </c>
      <c r="P188" s="7" t="s">
        <v>32</v>
      </c>
      <c r="Q188" s="8" t="s">
        <v>58</v>
      </c>
      <c r="R188" s="7" t="s">
        <v>33</v>
      </c>
      <c r="S188" s="7" t="s">
        <v>34</v>
      </c>
      <c r="T188" s="10">
        <v>0</v>
      </c>
      <c r="U188" s="7"/>
      <c r="V188" s="10">
        <v>0</v>
      </c>
      <c r="W188" s="7" t="s">
        <v>48</v>
      </c>
      <c r="X188" s="10" t="s">
        <v>36</v>
      </c>
      <c r="Y188" s="7" t="s">
        <v>37</v>
      </c>
    </row>
    <row x14ac:dyDescent="0.25" r="189" customHeight="1" ht="18.75">
      <c r="A189" s="11">
        <v>74021070</v>
      </c>
      <c r="B189" s="12">
        <v>592</v>
      </c>
      <c r="C189" s="13" t="s">
        <v>988</v>
      </c>
      <c r="D189" s="13" t="s">
        <v>989</v>
      </c>
      <c r="E189" s="14">
        <v>74021070</v>
      </c>
      <c r="F189" s="14">
        <v>592</v>
      </c>
      <c r="G189" s="13" t="s">
        <v>27</v>
      </c>
      <c r="H189" s="13" t="s">
        <v>990</v>
      </c>
      <c r="I189" s="13" t="s">
        <v>991</v>
      </c>
      <c r="J189" s="14">
        <f>79636305658</f>
      </c>
      <c r="K189" s="9"/>
      <c r="L189" s="13" t="s">
        <v>30</v>
      </c>
      <c r="M189" s="14">
        <v>56</v>
      </c>
      <c r="N189" s="13" t="s">
        <v>31</v>
      </c>
      <c r="O189" s="13" t="s">
        <v>32</v>
      </c>
      <c r="P189" s="13" t="s">
        <v>32</v>
      </c>
      <c r="Q189" s="14" t="s">
        <v>58</v>
      </c>
      <c r="R189" s="13" t="s">
        <v>33</v>
      </c>
      <c r="S189" s="13" t="s">
        <v>34</v>
      </c>
      <c r="T189" s="15">
        <v>0</v>
      </c>
      <c r="U189" s="13" t="s">
        <v>48</v>
      </c>
      <c r="V189" s="15" t="s">
        <v>64</v>
      </c>
      <c r="W189" s="13" t="s">
        <v>48</v>
      </c>
      <c r="X189" s="15" t="s">
        <v>36</v>
      </c>
      <c r="Y189" s="13" t="s">
        <v>37</v>
      </c>
    </row>
    <row x14ac:dyDescent="0.25" r="190" customHeight="1" ht="18.75">
      <c r="A190" s="5">
        <v>74021071</v>
      </c>
      <c r="B190" s="6">
        <v>593</v>
      </c>
      <c r="C190" s="7" t="s">
        <v>992</v>
      </c>
      <c r="D190" s="7" t="s">
        <v>993</v>
      </c>
      <c r="E190" s="8">
        <v>74021071</v>
      </c>
      <c r="F190" s="8">
        <v>593</v>
      </c>
      <c r="G190" s="7" t="s">
        <v>27</v>
      </c>
      <c r="H190" s="7" t="s">
        <v>994</v>
      </c>
      <c r="I190" s="7" t="s">
        <v>995</v>
      </c>
      <c r="J190" s="8">
        <f>74993807687</f>
      </c>
      <c r="K190" s="9"/>
      <c r="L190" s="7" t="s">
        <v>131</v>
      </c>
      <c r="M190" s="8">
        <v>84</v>
      </c>
      <c r="N190" s="7" t="s">
        <v>996</v>
      </c>
      <c r="O190" s="7" t="s">
        <v>32</v>
      </c>
      <c r="P190" s="7" t="s">
        <v>32</v>
      </c>
      <c r="Q190" s="8" t="s">
        <v>997</v>
      </c>
      <c r="R190" s="7" t="s">
        <v>33</v>
      </c>
      <c r="S190" s="7" t="s">
        <v>34</v>
      </c>
      <c r="T190" s="10">
        <v>0</v>
      </c>
      <c r="U190" s="7" t="s">
        <v>48</v>
      </c>
      <c r="V190" s="10" t="s">
        <v>64</v>
      </c>
      <c r="W190" s="7" t="s">
        <v>48</v>
      </c>
      <c r="X190" s="10" t="s">
        <v>36</v>
      </c>
      <c r="Y190" s="7" t="s">
        <v>126</v>
      </c>
    </row>
    <row x14ac:dyDescent="0.25" r="191" customHeight="1" ht="18.75">
      <c r="A191" s="11">
        <v>74021083</v>
      </c>
      <c r="B191" s="12">
        <v>605</v>
      </c>
      <c r="C191" s="13" t="s">
        <v>998</v>
      </c>
      <c r="D191" s="13" t="s">
        <v>999</v>
      </c>
      <c r="E191" s="14">
        <v>74021083</v>
      </c>
      <c r="F191" s="14">
        <v>605</v>
      </c>
      <c r="G191" s="13" t="s">
        <v>27</v>
      </c>
      <c r="H191" s="13" t="s">
        <v>1000</v>
      </c>
      <c r="I191" s="13" t="s">
        <v>1001</v>
      </c>
      <c r="J191" s="14">
        <f>79269996897</f>
      </c>
      <c r="K191" s="9"/>
      <c r="L191" s="13" t="s">
        <v>544</v>
      </c>
      <c r="M191" s="14">
        <v>74</v>
      </c>
      <c r="N191" s="13" t="s">
        <v>545</v>
      </c>
      <c r="O191" s="13" t="s">
        <v>32</v>
      </c>
      <c r="P191" s="13" t="s">
        <v>32</v>
      </c>
      <c r="Q191" s="14" t="s">
        <v>58</v>
      </c>
      <c r="R191" s="13" t="s">
        <v>33</v>
      </c>
      <c r="S191" s="13" t="s">
        <v>34</v>
      </c>
      <c r="T191" s="15">
        <v>0</v>
      </c>
      <c r="U191" s="13" t="s">
        <v>35</v>
      </c>
      <c r="V191" s="15" t="s">
        <v>64</v>
      </c>
      <c r="W191" s="13" t="s">
        <v>48</v>
      </c>
      <c r="X191" s="15" t="s">
        <v>895</v>
      </c>
      <c r="Y191" s="13" t="s">
        <v>37</v>
      </c>
    </row>
    <row x14ac:dyDescent="0.25" r="192" customHeight="1" ht="18.75">
      <c r="A192" s="5">
        <v>74021089</v>
      </c>
      <c r="B192" s="6">
        <v>607</v>
      </c>
      <c r="C192" s="7" t="s">
        <v>1002</v>
      </c>
      <c r="D192" s="7" t="s">
        <v>1003</v>
      </c>
      <c r="E192" s="8">
        <v>74021089</v>
      </c>
      <c r="F192" s="8">
        <v>607</v>
      </c>
      <c r="G192" s="7" t="s">
        <v>27</v>
      </c>
      <c r="H192" s="7" t="s">
        <v>1004</v>
      </c>
      <c r="I192" s="7" t="s">
        <v>1005</v>
      </c>
      <c r="J192" s="7" t="s">
        <v>467</v>
      </c>
      <c r="K192" s="9"/>
      <c r="L192" s="7" t="s">
        <v>54</v>
      </c>
      <c r="M192" s="8">
        <v>188</v>
      </c>
      <c r="N192" s="7" t="s">
        <v>55</v>
      </c>
      <c r="O192" s="7" t="s">
        <v>56</v>
      </c>
      <c r="P192" s="7" t="s">
        <v>57</v>
      </c>
      <c r="Q192" s="8" t="s">
        <v>58</v>
      </c>
      <c r="R192" s="7" t="s">
        <v>33</v>
      </c>
      <c r="S192" s="7" t="s">
        <v>34</v>
      </c>
      <c r="T192" s="10">
        <v>0</v>
      </c>
      <c r="U192" s="7"/>
      <c r="V192" s="10">
        <v>0</v>
      </c>
      <c r="W192" s="7" t="s">
        <v>48</v>
      </c>
      <c r="X192" s="10" t="s">
        <v>36</v>
      </c>
      <c r="Y192" s="7" t="s">
        <v>37</v>
      </c>
    </row>
    <row x14ac:dyDescent="0.25" r="193" customHeight="1" ht="18.75">
      <c r="A193" s="11">
        <v>74021090</v>
      </c>
      <c r="B193" s="12">
        <v>608</v>
      </c>
      <c r="C193" s="13" t="s">
        <v>1006</v>
      </c>
      <c r="D193" s="13" t="s">
        <v>1007</v>
      </c>
      <c r="E193" s="14">
        <v>74021090</v>
      </c>
      <c r="F193" s="14">
        <v>608</v>
      </c>
      <c r="G193" s="13" t="s">
        <v>27</v>
      </c>
      <c r="H193" s="13" t="s">
        <v>1008</v>
      </c>
      <c r="I193" s="13" t="s">
        <v>1009</v>
      </c>
      <c r="J193" s="14">
        <f>79061195771</f>
      </c>
      <c r="K193" s="9"/>
      <c r="L193" s="13" t="s">
        <v>54</v>
      </c>
      <c r="M193" s="14">
        <v>188</v>
      </c>
      <c r="N193" s="13" t="s">
        <v>55</v>
      </c>
      <c r="O193" s="13" t="s">
        <v>44</v>
      </c>
      <c r="P193" s="13" t="s">
        <v>292</v>
      </c>
      <c r="Q193" s="14" t="s">
        <v>182</v>
      </c>
      <c r="R193" s="13" t="s">
        <v>33</v>
      </c>
      <c r="S193" s="13" t="s">
        <v>34</v>
      </c>
      <c r="T193" s="15">
        <v>0</v>
      </c>
      <c r="U193" s="13"/>
      <c r="V193" s="15">
        <v>0</v>
      </c>
      <c r="W193" s="13" t="s">
        <v>48</v>
      </c>
      <c r="X193" s="15" t="s">
        <v>65</v>
      </c>
      <c r="Y193" s="13" t="s">
        <v>37</v>
      </c>
    </row>
    <row x14ac:dyDescent="0.25" r="194" customHeight="1" ht="18.75">
      <c r="A194" s="5">
        <v>74021091</v>
      </c>
      <c r="B194" s="6">
        <v>609</v>
      </c>
      <c r="C194" s="7" t="s">
        <v>1010</v>
      </c>
      <c r="D194" s="7" t="s">
        <v>1011</v>
      </c>
      <c r="E194" s="8">
        <v>74021091</v>
      </c>
      <c r="F194" s="8">
        <v>609</v>
      </c>
      <c r="G194" s="7" t="s">
        <v>27</v>
      </c>
      <c r="H194" s="7" t="s">
        <v>1012</v>
      </c>
      <c r="I194" s="7" t="s">
        <v>1013</v>
      </c>
      <c r="J194" s="8">
        <f>79306897608</f>
      </c>
      <c r="K194" s="9"/>
      <c r="L194" s="7" t="s">
        <v>54</v>
      </c>
      <c r="M194" s="8">
        <v>188</v>
      </c>
      <c r="N194" s="7" t="s">
        <v>55</v>
      </c>
      <c r="O194" s="7" t="s">
        <v>44</v>
      </c>
      <c r="P194" s="7" t="s">
        <v>89</v>
      </c>
      <c r="Q194" s="8" t="s">
        <v>58</v>
      </c>
      <c r="R194" s="7" t="s">
        <v>33</v>
      </c>
      <c r="S194" s="7" t="s">
        <v>34</v>
      </c>
      <c r="T194" s="10">
        <v>0</v>
      </c>
      <c r="U194" s="7"/>
      <c r="V194" s="10">
        <v>0</v>
      </c>
      <c r="W194" s="7" t="s">
        <v>48</v>
      </c>
      <c r="X194" s="10" t="s">
        <v>36</v>
      </c>
      <c r="Y194" s="7" t="s">
        <v>59</v>
      </c>
    </row>
    <row x14ac:dyDescent="0.25" r="195" customHeight="1" ht="18.75">
      <c r="A195" s="11">
        <v>74021092</v>
      </c>
      <c r="B195" s="12">
        <v>610</v>
      </c>
      <c r="C195" s="13" t="s">
        <v>1014</v>
      </c>
      <c r="D195" s="13" t="s">
        <v>1015</v>
      </c>
      <c r="E195" s="14">
        <v>74021092</v>
      </c>
      <c r="F195" s="14">
        <v>610</v>
      </c>
      <c r="G195" s="13" t="s">
        <v>27</v>
      </c>
      <c r="H195" s="13" t="s">
        <v>1016</v>
      </c>
      <c r="I195" s="13" t="s">
        <v>1017</v>
      </c>
      <c r="J195" s="14">
        <f>73852579494</f>
      </c>
      <c r="K195" s="9"/>
      <c r="L195" s="13" t="s">
        <v>71</v>
      </c>
      <c r="M195" s="14">
        <v>92</v>
      </c>
      <c r="N195" s="13" t="s">
        <v>423</v>
      </c>
      <c r="O195" s="13" t="s">
        <v>73</v>
      </c>
      <c r="P195" s="13" t="s">
        <v>74</v>
      </c>
      <c r="Q195" s="14" t="s">
        <v>1018</v>
      </c>
      <c r="R195" s="13" t="s">
        <v>33</v>
      </c>
      <c r="S195" s="13" t="s">
        <v>34</v>
      </c>
      <c r="T195" s="15">
        <v>0</v>
      </c>
      <c r="U195" s="13" t="s">
        <v>48</v>
      </c>
      <c r="V195" s="15" t="s">
        <v>64</v>
      </c>
      <c r="W195" s="13" t="s">
        <v>48</v>
      </c>
      <c r="X195" s="15" t="s">
        <v>36</v>
      </c>
      <c r="Y195" s="13" t="s">
        <v>59</v>
      </c>
    </row>
    <row x14ac:dyDescent="0.25" r="196" customHeight="1" ht="18.75">
      <c r="A196" s="5">
        <v>74021095</v>
      </c>
      <c r="B196" s="6">
        <v>613</v>
      </c>
      <c r="C196" s="7" t="s">
        <v>1019</v>
      </c>
      <c r="D196" s="7" t="s">
        <v>1020</v>
      </c>
      <c r="E196" s="8">
        <v>74021095</v>
      </c>
      <c r="F196" s="8">
        <v>613</v>
      </c>
      <c r="G196" s="7" t="s">
        <v>27</v>
      </c>
      <c r="H196" s="7" t="s">
        <v>1021</v>
      </c>
      <c r="I196" s="7" t="s">
        <v>1022</v>
      </c>
      <c r="J196" s="8">
        <f>79636305117</f>
      </c>
      <c r="K196" s="9"/>
      <c r="L196" s="7" t="s">
        <v>30</v>
      </c>
      <c r="M196" s="8">
        <v>56</v>
      </c>
      <c r="N196" s="7" t="s">
        <v>31</v>
      </c>
      <c r="O196" s="7" t="s">
        <v>32</v>
      </c>
      <c r="P196" s="7" t="s">
        <v>32</v>
      </c>
      <c r="Q196" s="8" t="s">
        <v>1023</v>
      </c>
      <c r="R196" s="7" t="s">
        <v>33</v>
      </c>
      <c r="S196" s="7" t="s">
        <v>34</v>
      </c>
      <c r="T196" s="10">
        <v>0</v>
      </c>
      <c r="U196" s="7"/>
      <c r="V196" s="10">
        <v>0</v>
      </c>
      <c r="W196" s="7" t="s">
        <v>48</v>
      </c>
      <c r="X196" s="10" t="s">
        <v>65</v>
      </c>
      <c r="Y196" s="7" t="s">
        <v>37</v>
      </c>
    </row>
    <row x14ac:dyDescent="0.25" r="197" customHeight="1" ht="18.75">
      <c r="A197" s="11">
        <v>74021098</v>
      </c>
      <c r="B197" s="12">
        <v>614</v>
      </c>
      <c r="C197" s="13" t="s">
        <v>1024</v>
      </c>
      <c r="D197" s="13" t="s">
        <v>1025</v>
      </c>
      <c r="E197" s="14">
        <v>74021098</v>
      </c>
      <c r="F197" s="14">
        <v>614</v>
      </c>
      <c r="G197" s="13" t="s">
        <v>27</v>
      </c>
      <c r="H197" s="13" t="s">
        <v>1026</v>
      </c>
      <c r="I197" s="13" t="s">
        <v>1027</v>
      </c>
      <c r="J197" s="13" t="s">
        <v>467</v>
      </c>
      <c r="K197" s="9"/>
      <c r="L197" s="13" t="s">
        <v>544</v>
      </c>
      <c r="M197" s="14">
        <v>74</v>
      </c>
      <c r="N197" s="13" t="s">
        <v>545</v>
      </c>
      <c r="O197" s="13" t="s">
        <v>32</v>
      </c>
      <c r="P197" s="13" t="s">
        <v>32</v>
      </c>
      <c r="Q197" s="14" t="s">
        <v>58</v>
      </c>
      <c r="R197" s="13" t="s">
        <v>33</v>
      </c>
      <c r="S197" s="13" t="s">
        <v>34</v>
      </c>
      <c r="T197" s="15">
        <v>0</v>
      </c>
      <c r="U197" s="13"/>
      <c r="V197" s="15">
        <v>0</v>
      </c>
      <c r="W197" s="13" t="s">
        <v>48</v>
      </c>
      <c r="X197" s="15" t="s">
        <v>36</v>
      </c>
      <c r="Y197" s="13" t="s">
        <v>37</v>
      </c>
    </row>
    <row x14ac:dyDescent="0.25" r="198" customHeight="1" ht="18.75">
      <c r="A198" s="5">
        <v>74021099</v>
      </c>
      <c r="B198" s="6">
        <v>615</v>
      </c>
      <c r="C198" s="7" t="s">
        <v>1028</v>
      </c>
      <c r="D198" s="7" t="s">
        <v>1029</v>
      </c>
      <c r="E198" s="8">
        <v>74021099</v>
      </c>
      <c r="F198" s="8">
        <v>615</v>
      </c>
      <c r="G198" s="7" t="s">
        <v>27</v>
      </c>
      <c r="H198" s="7" t="s">
        <v>1030</v>
      </c>
      <c r="I198" s="7" t="s">
        <v>1031</v>
      </c>
      <c r="J198" s="8">
        <f>74952361393</f>
      </c>
      <c r="K198" s="9"/>
      <c r="L198" s="7" t="s">
        <v>266</v>
      </c>
      <c r="M198" s="8">
        <v>145</v>
      </c>
      <c r="N198" s="7" t="s">
        <v>1032</v>
      </c>
      <c r="O198" s="7" t="s">
        <v>82</v>
      </c>
      <c r="P198" s="7" t="s">
        <v>268</v>
      </c>
      <c r="Q198" s="8" t="s">
        <v>1033</v>
      </c>
      <c r="R198" s="7" t="s">
        <v>33</v>
      </c>
      <c r="S198" s="7" t="s">
        <v>34</v>
      </c>
      <c r="T198" s="10">
        <v>0</v>
      </c>
      <c r="U198" s="7" t="s">
        <v>48</v>
      </c>
      <c r="V198" s="10" t="s">
        <v>64</v>
      </c>
      <c r="W198" s="7" t="s">
        <v>48</v>
      </c>
      <c r="X198" s="10" t="s">
        <v>36</v>
      </c>
      <c r="Y198" s="7" t="s">
        <v>37</v>
      </c>
    </row>
    <row x14ac:dyDescent="0.25" r="199" customHeight="1" ht="18.75">
      <c r="A199" s="11">
        <v>74021100</v>
      </c>
      <c r="B199" s="12">
        <v>616</v>
      </c>
      <c r="C199" s="13" t="s">
        <v>1034</v>
      </c>
      <c r="D199" s="13" t="s">
        <v>1035</v>
      </c>
      <c r="E199" s="14">
        <v>74021100</v>
      </c>
      <c r="F199" s="14">
        <v>616</v>
      </c>
      <c r="G199" s="13" t="s">
        <v>27</v>
      </c>
      <c r="H199" s="13" t="s">
        <v>1036</v>
      </c>
      <c r="I199" s="13" t="s">
        <v>1037</v>
      </c>
      <c r="J199" s="14">
        <f>79384736177</f>
      </c>
      <c r="K199" s="9"/>
      <c r="L199" s="13" t="s">
        <v>54</v>
      </c>
      <c r="M199" s="14">
        <v>188</v>
      </c>
      <c r="N199" s="13" t="s">
        <v>55</v>
      </c>
      <c r="O199" s="13" t="s">
        <v>119</v>
      </c>
      <c r="P199" s="13" t="s">
        <v>1038</v>
      </c>
      <c r="Q199" s="14" t="s">
        <v>1039</v>
      </c>
      <c r="R199" s="13" t="s">
        <v>33</v>
      </c>
      <c r="S199" s="13" t="s">
        <v>34</v>
      </c>
      <c r="T199" s="15">
        <v>0</v>
      </c>
      <c r="U199" s="13" t="s">
        <v>48</v>
      </c>
      <c r="V199" s="15" t="s">
        <v>125</v>
      </c>
      <c r="W199" s="13" t="s">
        <v>35</v>
      </c>
      <c r="X199" s="15" t="s">
        <v>36</v>
      </c>
      <c r="Y199" s="13" t="s">
        <v>59</v>
      </c>
    </row>
    <row x14ac:dyDescent="0.25" r="200" customHeight="1" ht="18.75">
      <c r="A200" s="5">
        <v>74021101</v>
      </c>
      <c r="B200" s="6">
        <v>617</v>
      </c>
      <c r="C200" s="7" t="s">
        <v>1040</v>
      </c>
      <c r="D200" s="7" t="s">
        <v>1041</v>
      </c>
      <c r="E200" s="8">
        <v>74021101</v>
      </c>
      <c r="F200" s="8">
        <v>617</v>
      </c>
      <c r="G200" s="7" t="s">
        <v>27</v>
      </c>
      <c r="H200" s="7" t="s">
        <v>1042</v>
      </c>
      <c r="I200" s="7" t="s">
        <v>1043</v>
      </c>
      <c r="J200" s="8">
        <f>79384731959</f>
      </c>
      <c r="K200" s="9"/>
      <c r="L200" s="7" t="s">
        <v>54</v>
      </c>
      <c r="M200" s="8">
        <v>77</v>
      </c>
      <c r="N200" s="7" t="s">
        <v>1044</v>
      </c>
      <c r="O200" s="7" t="s">
        <v>119</v>
      </c>
      <c r="P200" s="7" t="s">
        <v>1045</v>
      </c>
      <c r="Q200" s="8" t="s">
        <v>58</v>
      </c>
      <c r="R200" s="7" t="s">
        <v>33</v>
      </c>
      <c r="S200" s="7" t="s">
        <v>34</v>
      </c>
      <c r="T200" s="10">
        <v>0</v>
      </c>
      <c r="U200" s="7"/>
      <c r="V200" s="10">
        <v>0</v>
      </c>
      <c r="W200" s="7" t="s">
        <v>35</v>
      </c>
      <c r="X200" s="10" t="s">
        <v>36</v>
      </c>
      <c r="Y200" s="7" t="s">
        <v>37</v>
      </c>
    </row>
    <row x14ac:dyDescent="0.25" r="201" customHeight="1" ht="18.75">
      <c r="A201" s="11">
        <v>74021102</v>
      </c>
      <c r="B201" s="12">
        <v>618</v>
      </c>
      <c r="C201" s="13" t="s">
        <v>1046</v>
      </c>
      <c r="D201" s="13" t="s">
        <v>1047</v>
      </c>
      <c r="E201" s="14">
        <v>74021102</v>
      </c>
      <c r="F201" s="14">
        <v>618</v>
      </c>
      <c r="G201" s="13" t="s">
        <v>27</v>
      </c>
      <c r="H201" s="13" t="s">
        <v>1048</v>
      </c>
      <c r="I201" s="13" t="s">
        <v>1049</v>
      </c>
      <c r="J201" s="14">
        <f>79384733211</f>
      </c>
      <c r="K201" s="9"/>
      <c r="L201" s="13" t="s">
        <v>54</v>
      </c>
      <c r="M201" s="14">
        <v>77</v>
      </c>
      <c r="N201" s="13" t="s">
        <v>1044</v>
      </c>
      <c r="O201" s="13" t="s">
        <v>119</v>
      </c>
      <c r="P201" s="13" t="s">
        <v>1045</v>
      </c>
      <c r="Q201" s="14" t="s">
        <v>58</v>
      </c>
      <c r="R201" s="13" t="s">
        <v>33</v>
      </c>
      <c r="S201" s="13" t="s">
        <v>34</v>
      </c>
      <c r="T201" s="15">
        <v>0</v>
      </c>
      <c r="U201" s="13"/>
      <c r="V201" s="15">
        <v>0</v>
      </c>
      <c r="W201" s="13" t="s">
        <v>48</v>
      </c>
      <c r="X201" s="15" t="s">
        <v>36</v>
      </c>
      <c r="Y201" s="13" t="s">
        <v>37</v>
      </c>
    </row>
    <row x14ac:dyDescent="0.25" r="202" customHeight="1" ht="18.75">
      <c r="A202" s="5">
        <v>74021103</v>
      </c>
      <c r="B202" s="6">
        <v>619</v>
      </c>
      <c r="C202" s="7" t="s">
        <v>1050</v>
      </c>
      <c r="D202" s="7" t="s">
        <v>1051</v>
      </c>
      <c r="E202" s="8">
        <v>74021103</v>
      </c>
      <c r="F202" s="8">
        <v>619</v>
      </c>
      <c r="G202" s="7" t="s">
        <v>27</v>
      </c>
      <c r="H202" s="7" t="s">
        <v>1052</v>
      </c>
      <c r="I202" s="7" t="s">
        <v>1053</v>
      </c>
      <c r="J202" s="8">
        <f>79384733534</f>
      </c>
      <c r="K202" s="9"/>
      <c r="L202" s="7" t="s">
        <v>54</v>
      </c>
      <c r="M202" s="8">
        <v>188</v>
      </c>
      <c r="N202" s="7" t="s">
        <v>55</v>
      </c>
      <c r="O202" s="7" t="s">
        <v>119</v>
      </c>
      <c r="P202" s="7" t="s">
        <v>1045</v>
      </c>
      <c r="Q202" s="8" t="s">
        <v>58</v>
      </c>
      <c r="R202" s="7" t="s">
        <v>33</v>
      </c>
      <c r="S202" s="7" t="s">
        <v>34</v>
      </c>
      <c r="T202" s="10">
        <v>0</v>
      </c>
      <c r="U202" s="7"/>
      <c r="V202" s="10">
        <v>0</v>
      </c>
      <c r="W202" s="7" t="s">
        <v>48</v>
      </c>
      <c r="X202" s="10" t="s">
        <v>36</v>
      </c>
      <c r="Y202" s="7" t="s">
        <v>37</v>
      </c>
    </row>
    <row x14ac:dyDescent="0.25" r="203" customHeight="1" ht="18.75">
      <c r="A203" s="11">
        <v>74021104</v>
      </c>
      <c r="B203" s="12">
        <v>620</v>
      </c>
      <c r="C203" s="13" t="s">
        <v>1054</v>
      </c>
      <c r="D203" s="13" t="s">
        <v>1055</v>
      </c>
      <c r="E203" s="14">
        <v>74021104</v>
      </c>
      <c r="F203" s="14">
        <v>620</v>
      </c>
      <c r="G203" s="13" t="s">
        <v>27</v>
      </c>
      <c r="H203" s="13" t="s">
        <v>1056</v>
      </c>
      <c r="I203" s="13" t="s">
        <v>1057</v>
      </c>
      <c r="J203" s="14">
        <f>79384733884</f>
      </c>
      <c r="K203" s="9"/>
      <c r="L203" s="13" t="s">
        <v>54</v>
      </c>
      <c r="M203" s="14">
        <v>77</v>
      </c>
      <c r="N203" s="13" t="s">
        <v>1044</v>
      </c>
      <c r="O203" s="13" t="s">
        <v>119</v>
      </c>
      <c r="P203" s="13" t="s">
        <v>1045</v>
      </c>
      <c r="Q203" s="14" t="s">
        <v>58</v>
      </c>
      <c r="R203" s="13" t="s">
        <v>33</v>
      </c>
      <c r="S203" s="13" t="s">
        <v>34</v>
      </c>
      <c r="T203" s="15">
        <v>0</v>
      </c>
      <c r="U203" s="13"/>
      <c r="V203" s="15">
        <v>0</v>
      </c>
      <c r="W203" s="13" t="s">
        <v>48</v>
      </c>
      <c r="X203" s="15" t="s">
        <v>36</v>
      </c>
      <c r="Y203" s="13" t="s">
        <v>37</v>
      </c>
    </row>
    <row x14ac:dyDescent="0.25" r="204" customHeight="1" ht="18.75">
      <c r="A204" s="5">
        <v>74021105</v>
      </c>
      <c r="B204" s="6">
        <v>621</v>
      </c>
      <c r="C204" s="7" t="s">
        <v>1058</v>
      </c>
      <c r="D204" s="7" t="s">
        <v>1059</v>
      </c>
      <c r="E204" s="8">
        <v>74021105</v>
      </c>
      <c r="F204" s="8">
        <v>621</v>
      </c>
      <c r="G204" s="7" t="s">
        <v>27</v>
      </c>
      <c r="H204" s="7" t="s">
        <v>1060</v>
      </c>
      <c r="I204" s="7" t="s">
        <v>1061</v>
      </c>
      <c r="J204" s="8">
        <f>79384737349</f>
      </c>
      <c r="K204" s="9"/>
      <c r="L204" s="7" t="s">
        <v>54</v>
      </c>
      <c r="M204" s="8">
        <v>188</v>
      </c>
      <c r="N204" s="7" t="s">
        <v>55</v>
      </c>
      <c r="O204" s="7" t="s">
        <v>119</v>
      </c>
      <c r="P204" s="7" t="s">
        <v>1062</v>
      </c>
      <c r="Q204" s="8" t="s">
        <v>112</v>
      </c>
      <c r="R204" s="7" t="s">
        <v>33</v>
      </c>
      <c r="S204" s="7" t="s">
        <v>34</v>
      </c>
      <c r="T204" s="10">
        <v>0</v>
      </c>
      <c r="U204" s="7" t="s">
        <v>48</v>
      </c>
      <c r="V204" s="10" t="s">
        <v>64</v>
      </c>
      <c r="W204" s="7" t="s">
        <v>48</v>
      </c>
      <c r="X204" s="10" t="s">
        <v>36</v>
      </c>
      <c r="Y204" s="7" t="s">
        <v>84</v>
      </c>
    </row>
    <row x14ac:dyDescent="0.25" r="205" customHeight="1" ht="18.75">
      <c r="A205" s="11">
        <v>74021106</v>
      </c>
      <c r="B205" s="12">
        <v>622</v>
      </c>
      <c r="C205" s="13" t="s">
        <v>1063</v>
      </c>
      <c r="D205" s="13" t="s">
        <v>1064</v>
      </c>
      <c r="E205" s="14">
        <v>74021106</v>
      </c>
      <c r="F205" s="14">
        <v>622</v>
      </c>
      <c r="G205" s="13" t="s">
        <v>27</v>
      </c>
      <c r="H205" s="13" t="s">
        <v>1065</v>
      </c>
      <c r="I205" s="13" t="s">
        <v>1066</v>
      </c>
      <c r="J205" s="14">
        <f>79384735014</f>
      </c>
      <c r="K205" s="9"/>
      <c r="L205" s="13" t="s">
        <v>54</v>
      </c>
      <c r="M205" s="14">
        <v>188</v>
      </c>
      <c r="N205" s="13" t="s">
        <v>55</v>
      </c>
      <c r="O205" s="13" t="s">
        <v>119</v>
      </c>
      <c r="P205" s="13" t="s">
        <v>1045</v>
      </c>
      <c r="Q205" s="14" t="s">
        <v>58</v>
      </c>
      <c r="R205" s="13" t="s">
        <v>33</v>
      </c>
      <c r="S205" s="13" t="s">
        <v>34</v>
      </c>
      <c r="T205" s="15">
        <v>0</v>
      </c>
      <c r="U205" s="13"/>
      <c r="V205" s="15">
        <v>0</v>
      </c>
      <c r="W205" s="13" t="s">
        <v>35</v>
      </c>
      <c r="X205" s="15" t="s">
        <v>36</v>
      </c>
      <c r="Y205" s="13" t="s">
        <v>84</v>
      </c>
    </row>
    <row x14ac:dyDescent="0.25" r="206" customHeight="1" ht="18.75">
      <c r="A206" s="5">
        <v>74021107</v>
      </c>
      <c r="B206" s="6">
        <v>623</v>
      </c>
      <c r="C206" s="7" t="s">
        <v>1067</v>
      </c>
      <c r="D206" s="7" t="s">
        <v>1068</v>
      </c>
      <c r="E206" s="8">
        <v>74021107</v>
      </c>
      <c r="F206" s="8">
        <v>623</v>
      </c>
      <c r="G206" s="7" t="s">
        <v>27</v>
      </c>
      <c r="H206" s="7" t="s">
        <v>1069</v>
      </c>
      <c r="I206" s="7" t="s">
        <v>1070</v>
      </c>
      <c r="J206" s="8">
        <f>79384737732</f>
      </c>
      <c r="K206" s="9"/>
      <c r="L206" s="7" t="s">
        <v>54</v>
      </c>
      <c r="M206" s="8">
        <v>188</v>
      </c>
      <c r="N206" s="7" t="s">
        <v>55</v>
      </c>
      <c r="O206" s="7" t="s">
        <v>119</v>
      </c>
      <c r="P206" s="7" t="s">
        <v>1071</v>
      </c>
      <c r="Q206" s="8" t="s">
        <v>1039</v>
      </c>
      <c r="R206" s="7" t="s">
        <v>33</v>
      </c>
      <c r="S206" s="7" t="s">
        <v>34</v>
      </c>
      <c r="T206" s="10">
        <v>0</v>
      </c>
      <c r="U206" s="7" t="s">
        <v>48</v>
      </c>
      <c r="V206" s="10" t="s">
        <v>64</v>
      </c>
      <c r="W206" s="7" t="s">
        <v>48</v>
      </c>
      <c r="X206" s="10" t="s">
        <v>36</v>
      </c>
      <c r="Y206" s="7" t="s">
        <v>37</v>
      </c>
    </row>
    <row x14ac:dyDescent="0.25" r="207" customHeight="1" ht="18.75">
      <c r="A207" s="11">
        <v>74021108</v>
      </c>
      <c r="B207" s="12">
        <v>624</v>
      </c>
      <c r="C207" s="13" t="s">
        <v>1072</v>
      </c>
      <c r="D207" s="13" t="s">
        <v>1073</v>
      </c>
      <c r="E207" s="14">
        <v>74021108</v>
      </c>
      <c r="F207" s="14">
        <v>624</v>
      </c>
      <c r="G207" s="13" t="s">
        <v>27</v>
      </c>
      <c r="H207" s="13" t="s">
        <v>1074</v>
      </c>
      <c r="I207" s="13" t="s">
        <v>1075</v>
      </c>
      <c r="J207" s="14">
        <f>79384738487</f>
      </c>
      <c r="K207" s="9"/>
      <c r="L207" s="13" t="s">
        <v>54</v>
      </c>
      <c r="M207" s="14">
        <v>77</v>
      </c>
      <c r="N207" s="13" t="s">
        <v>1044</v>
      </c>
      <c r="O207" s="13" t="s">
        <v>119</v>
      </c>
      <c r="P207" s="13" t="s">
        <v>1076</v>
      </c>
      <c r="Q207" s="14" t="s">
        <v>1039</v>
      </c>
      <c r="R207" s="13" t="s">
        <v>33</v>
      </c>
      <c r="S207" s="13" t="s">
        <v>34</v>
      </c>
      <c r="T207" s="15">
        <v>0</v>
      </c>
      <c r="U207" s="13"/>
      <c r="V207" s="15">
        <v>0</v>
      </c>
      <c r="W207" s="13" t="s">
        <v>48</v>
      </c>
      <c r="X207" s="15" t="s">
        <v>36</v>
      </c>
      <c r="Y207" s="13" t="s">
        <v>37</v>
      </c>
    </row>
    <row x14ac:dyDescent="0.25" r="208" customHeight="1" ht="18.75">
      <c r="A208" s="5">
        <v>74021109</v>
      </c>
      <c r="B208" s="6">
        <v>625</v>
      </c>
      <c r="C208" s="7" t="s">
        <v>1077</v>
      </c>
      <c r="D208" s="7" t="s">
        <v>1078</v>
      </c>
      <c r="E208" s="8">
        <v>74021109</v>
      </c>
      <c r="F208" s="8">
        <v>625</v>
      </c>
      <c r="G208" s="7" t="s">
        <v>27</v>
      </c>
      <c r="H208" s="7" t="s">
        <v>1079</v>
      </c>
      <c r="I208" s="7" t="s">
        <v>1080</v>
      </c>
      <c r="J208" s="8">
        <f>79384739097</f>
      </c>
      <c r="K208" s="9"/>
      <c r="L208" s="7" t="s">
        <v>54</v>
      </c>
      <c r="M208" s="8">
        <v>77</v>
      </c>
      <c r="N208" s="7" t="s">
        <v>1044</v>
      </c>
      <c r="O208" s="7" t="s">
        <v>119</v>
      </c>
      <c r="P208" s="7" t="s">
        <v>1081</v>
      </c>
      <c r="Q208" s="8" t="s">
        <v>1039</v>
      </c>
      <c r="R208" s="7" t="s">
        <v>33</v>
      </c>
      <c r="S208" s="7" t="s">
        <v>34</v>
      </c>
      <c r="T208" s="10">
        <v>0</v>
      </c>
      <c r="U208" s="7" t="s">
        <v>35</v>
      </c>
      <c r="V208" s="10" t="s">
        <v>125</v>
      </c>
      <c r="W208" s="7" t="s">
        <v>48</v>
      </c>
      <c r="X208" s="10" t="s">
        <v>36</v>
      </c>
      <c r="Y208" s="7" t="s">
        <v>37</v>
      </c>
    </row>
    <row x14ac:dyDescent="0.25" r="209" customHeight="1" ht="18.75">
      <c r="A209" s="11">
        <v>74021111</v>
      </c>
      <c r="B209" s="12">
        <v>627</v>
      </c>
      <c r="C209" s="13" t="s">
        <v>1082</v>
      </c>
      <c r="D209" s="13" t="s">
        <v>1083</v>
      </c>
      <c r="E209" s="14">
        <v>74021111</v>
      </c>
      <c r="F209" s="14">
        <v>627</v>
      </c>
      <c r="G209" s="13" t="s">
        <v>27</v>
      </c>
      <c r="H209" s="13" t="s">
        <v>1084</v>
      </c>
      <c r="I209" s="13" t="s">
        <v>1085</v>
      </c>
      <c r="J209" s="14">
        <f>79384736117</f>
      </c>
      <c r="K209" s="9"/>
      <c r="L209" s="13" t="s">
        <v>54</v>
      </c>
      <c r="M209" s="14">
        <v>77</v>
      </c>
      <c r="N209" s="13" t="s">
        <v>1044</v>
      </c>
      <c r="O209" s="13" t="s">
        <v>119</v>
      </c>
      <c r="P209" s="13" t="s">
        <v>1045</v>
      </c>
      <c r="Q209" s="14" t="s">
        <v>58</v>
      </c>
      <c r="R209" s="13" t="s">
        <v>33</v>
      </c>
      <c r="S209" s="13" t="s">
        <v>34</v>
      </c>
      <c r="T209" s="15">
        <v>0</v>
      </c>
      <c r="U209" s="13"/>
      <c r="V209" s="15">
        <v>0</v>
      </c>
      <c r="W209" s="13" t="s">
        <v>48</v>
      </c>
      <c r="X209" s="15" t="s">
        <v>36</v>
      </c>
      <c r="Y209" s="13" t="s">
        <v>37</v>
      </c>
    </row>
    <row x14ac:dyDescent="0.25" r="210" customHeight="1" ht="18.75">
      <c r="A210" s="5">
        <v>74021112</v>
      </c>
      <c r="B210" s="6">
        <v>628</v>
      </c>
      <c r="C210" s="7" t="s">
        <v>1086</v>
      </c>
      <c r="D210" s="7" t="s">
        <v>1087</v>
      </c>
      <c r="E210" s="8">
        <v>74021112</v>
      </c>
      <c r="F210" s="8">
        <v>628</v>
      </c>
      <c r="G210" s="7" t="s">
        <v>27</v>
      </c>
      <c r="H210" s="7" t="s">
        <v>1088</v>
      </c>
      <c r="I210" s="7" t="s">
        <v>1089</v>
      </c>
      <c r="J210" s="8">
        <f>79385448737</f>
      </c>
      <c r="K210" s="9"/>
      <c r="L210" s="7" t="s">
        <v>54</v>
      </c>
      <c r="M210" s="8">
        <v>188</v>
      </c>
      <c r="N210" s="7" t="s">
        <v>55</v>
      </c>
      <c r="O210" s="7" t="s">
        <v>119</v>
      </c>
      <c r="P210" s="7" t="s">
        <v>1045</v>
      </c>
      <c r="Q210" s="8" t="s">
        <v>58</v>
      </c>
      <c r="R210" s="7" t="s">
        <v>33</v>
      </c>
      <c r="S210" s="7" t="s">
        <v>34</v>
      </c>
      <c r="T210" s="10">
        <v>0</v>
      </c>
      <c r="U210" s="7"/>
      <c r="V210" s="10">
        <v>0</v>
      </c>
      <c r="W210" s="7" t="s">
        <v>48</v>
      </c>
      <c r="X210" s="10" t="s">
        <v>36</v>
      </c>
      <c r="Y210" s="7" t="s">
        <v>84</v>
      </c>
    </row>
    <row x14ac:dyDescent="0.25" r="211" customHeight="1" ht="18.75">
      <c r="A211" s="11">
        <v>74021113</v>
      </c>
      <c r="B211" s="12">
        <v>629</v>
      </c>
      <c r="C211" s="13" t="s">
        <v>1090</v>
      </c>
      <c r="D211" s="13" t="s">
        <v>1091</v>
      </c>
      <c r="E211" s="14">
        <v>74021113</v>
      </c>
      <c r="F211" s="14">
        <v>629</v>
      </c>
      <c r="G211" s="13" t="s">
        <v>27</v>
      </c>
      <c r="H211" s="13" t="s">
        <v>1092</v>
      </c>
      <c r="I211" s="13" t="s">
        <v>1093</v>
      </c>
      <c r="J211" s="14">
        <f>78612104756</f>
      </c>
      <c r="K211" s="9"/>
      <c r="L211" s="13" t="s">
        <v>54</v>
      </c>
      <c r="M211" s="14">
        <v>188</v>
      </c>
      <c r="N211" s="13" t="s">
        <v>55</v>
      </c>
      <c r="O211" s="13" t="s">
        <v>119</v>
      </c>
      <c r="P211" s="13" t="s">
        <v>1045</v>
      </c>
      <c r="Q211" s="14" t="s">
        <v>58</v>
      </c>
      <c r="R211" s="13" t="s">
        <v>33</v>
      </c>
      <c r="S211" s="13" t="s">
        <v>34</v>
      </c>
      <c r="T211" s="15">
        <v>0</v>
      </c>
      <c r="U211" s="13" t="s">
        <v>35</v>
      </c>
      <c r="V211" s="15" t="s">
        <v>214</v>
      </c>
      <c r="W211" s="13" t="s">
        <v>48</v>
      </c>
      <c r="X211" s="15" t="s">
        <v>36</v>
      </c>
      <c r="Y211" s="13" t="s">
        <v>59</v>
      </c>
    </row>
    <row x14ac:dyDescent="0.25" r="212" customHeight="1" ht="18.75">
      <c r="A212" s="5">
        <v>74021114</v>
      </c>
      <c r="B212" s="6">
        <v>630</v>
      </c>
      <c r="C212" s="7" t="s">
        <v>1094</v>
      </c>
      <c r="D212" s="7" t="s">
        <v>1095</v>
      </c>
      <c r="E212" s="8">
        <v>74021114</v>
      </c>
      <c r="F212" s="8">
        <v>630</v>
      </c>
      <c r="G212" s="7" t="s">
        <v>27</v>
      </c>
      <c r="H212" s="7" t="s">
        <v>1096</v>
      </c>
      <c r="I212" s="7" t="s">
        <v>1097</v>
      </c>
      <c r="J212" s="8">
        <f>79384731936</f>
      </c>
      <c r="K212" s="9"/>
      <c r="L212" s="7" t="s">
        <v>54</v>
      </c>
      <c r="M212" s="8">
        <v>77</v>
      </c>
      <c r="N212" s="7" t="s">
        <v>1044</v>
      </c>
      <c r="O212" s="7" t="s">
        <v>119</v>
      </c>
      <c r="P212" s="7" t="s">
        <v>1045</v>
      </c>
      <c r="Q212" s="8" t="s">
        <v>58</v>
      </c>
      <c r="R212" s="7" t="s">
        <v>33</v>
      </c>
      <c r="S212" s="7" t="s">
        <v>34</v>
      </c>
      <c r="T212" s="10">
        <v>0</v>
      </c>
      <c r="U212" s="7" t="s">
        <v>48</v>
      </c>
      <c r="V212" s="10" t="s">
        <v>125</v>
      </c>
      <c r="W212" s="7" t="s">
        <v>48</v>
      </c>
      <c r="X212" s="10" t="s">
        <v>36</v>
      </c>
      <c r="Y212" s="7" t="s">
        <v>37</v>
      </c>
    </row>
    <row x14ac:dyDescent="0.25" r="213" customHeight="1" ht="18.75">
      <c r="A213" s="11">
        <v>74021115</v>
      </c>
      <c r="B213" s="12">
        <v>631</v>
      </c>
      <c r="C213" s="13" t="s">
        <v>1098</v>
      </c>
      <c r="D213" s="13" t="s">
        <v>1099</v>
      </c>
      <c r="E213" s="14">
        <v>74021115</v>
      </c>
      <c r="F213" s="14">
        <v>631</v>
      </c>
      <c r="G213" s="13" t="s">
        <v>27</v>
      </c>
      <c r="H213" s="13" t="s">
        <v>1100</v>
      </c>
      <c r="I213" s="13" t="s">
        <v>1101</v>
      </c>
      <c r="J213" s="14">
        <f>79384358839</f>
      </c>
      <c r="K213" s="9"/>
      <c r="L213" s="13" t="s">
        <v>54</v>
      </c>
      <c r="M213" s="14">
        <v>188</v>
      </c>
      <c r="N213" s="13" t="s">
        <v>55</v>
      </c>
      <c r="O213" s="13" t="s">
        <v>119</v>
      </c>
      <c r="P213" s="13" t="s">
        <v>1045</v>
      </c>
      <c r="Q213" s="14" t="s">
        <v>58</v>
      </c>
      <c r="R213" s="13" t="s">
        <v>33</v>
      </c>
      <c r="S213" s="13" t="s">
        <v>34</v>
      </c>
      <c r="T213" s="15">
        <v>0</v>
      </c>
      <c r="U213" s="13" t="s">
        <v>35</v>
      </c>
      <c r="V213" s="15" t="s">
        <v>49</v>
      </c>
      <c r="W213" s="13" t="s">
        <v>48</v>
      </c>
      <c r="X213" s="15" t="s">
        <v>36</v>
      </c>
      <c r="Y213" s="13" t="s">
        <v>59</v>
      </c>
    </row>
    <row x14ac:dyDescent="0.25" r="214" customHeight="1" ht="18.75">
      <c r="A214" s="5">
        <v>74021116</v>
      </c>
      <c r="B214" s="6">
        <v>632</v>
      </c>
      <c r="C214" s="7" t="s">
        <v>1102</v>
      </c>
      <c r="D214" s="7" t="s">
        <v>1103</v>
      </c>
      <c r="E214" s="8">
        <v>74021116</v>
      </c>
      <c r="F214" s="8">
        <v>632</v>
      </c>
      <c r="G214" s="7" t="s">
        <v>27</v>
      </c>
      <c r="H214" s="7" t="s">
        <v>1104</v>
      </c>
      <c r="I214" s="7" t="s">
        <v>1105</v>
      </c>
      <c r="J214" s="8">
        <f>79384358861</f>
      </c>
      <c r="K214" s="9"/>
      <c r="L214" s="7" t="s">
        <v>54</v>
      </c>
      <c r="M214" s="8">
        <v>188</v>
      </c>
      <c r="N214" s="7" t="s">
        <v>55</v>
      </c>
      <c r="O214" s="7" t="s">
        <v>119</v>
      </c>
      <c r="P214" s="7" t="s">
        <v>1045</v>
      </c>
      <c r="Q214" s="8" t="s">
        <v>58</v>
      </c>
      <c r="R214" s="7" t="s">
        <v>33</v>
      </c>
      <c r="S214" s="7" t="s">
        <v>34</v>
      </c>
      <c r="T214" s="10">
        <v>0</v>
      </c>
      <c r="U214" s="7" t="s">
        <v>35</v>
      </c>
      <c r="V214" s="10" t="s">
        <v>49</v>
      </c>
      <c r="W214" s="7" t="s">
        <v>48</v>
      </c>
      <c r="X214" s="10" t="s">
        <v>36</v>
      </c>
      <c r="Y214" s="7" t="s">
        <v>37</v>
      </c>
    </row>
    <row x14ac:dyDescent="0.25" r="215" customHeight="1" ht="18.75">
      <c r="A215" s="11">
        <v>74021117</v>
      </c>
      <c r="B215" s="12">
        <v>633</v>
      </c>
      <c r="C215" s="13" t="s">
        <v>1106</v>
      </c>
      <c r="D215" s="13" t="s">
        <v>1107</v>
      </c>
      <c r="E215" s="14">
        <v>74021117</v>
      </c>
      <c r="F215" s="14">
        <v>633</v>
      </c>
      <c r="G215" s="13" t="s">
        <v>27</v>
      </c>
      <c r="H215" s="13" t="s">
        <v>1108</v>
      </c>
      <c r="I215" s="13" t="s">
        <v>1109</v>
      </c>
      <c r="J215" s="14">
        <f>79384359271</f>
      </c>
      <c r="K215" s="9"/>
      <c r="L215" s="13" t="s">
        <v>54</v>
      </c>
      <c r="M215" s="14">
        <v>188</v>
      </c>
      <c r="N215" s="13" t="s">
        <v>55</v>
      </c>
      <c r="O215" s="13" t="s">
        <v>119</v>
      </c>
      <c r="P215" s="13" t="s">
        <v>1045</v>
      </c>
      <c r="Q215" s="14" t="s">
        <v>58</v>
      </c>
      <c r="R215" s="13" t="s">
        <v>33</v>
      </c>
      <c r="S215" s="13" t="s">
        <v>34</v>
      </c>
      <c r="T215" s="15">
        <v>0</v>
      </c>
      <c r="U215" s="13"/>
      <c r="V215" s="15">
        <v>0</v>
      </c>
      <c r="W215" s="13" t="s">
        <v>48</v>
      </c>
      <c r="X215" s="15" t="s">
        <v>36</v>
      </c>
      <c r="Y215" s="13" t="s">
        <v>59</v>
      </c>
    </row>
    <row x14ac:dyDescent="0.25" r="216" customHeight="1" ht="18.75">
      <c r="A216" s="5">
        <v>74021118</v>
      </c>
      <c r="B216" s="6">
        <v>634</v>
      </c>
      <c r="C216" s="7" t="s">
        <v>1110</v>
      </c>
      <c r="D216" s="7" t="s">
        <v>1111</v>
      </c>
      <c r="E216" s="8">
        <v>74021118</v>
      </c>
      <c r="F216" s="8">
        <v>634</v>
      </c>
      <c r="G216" s="7" t="s">
        <v>27</v>
      </c>
      <c r="H216" s="7" t="s">
        <v>1112</v>
      </c>
      <c r="I216" s="7" t="s">
        <v>1113</v>
      </c>
      <c r="J216" s="8">
        <f>79384730189</f>
      </c>
      <c r="K216" s="9"/>
      <c r="L216" s="7" t="s">
        <v>54</v>
      </c>
      <c r="M216" s="8">
        <v>77</v>
      </c>
      <c r="N216" s="7" t="s">
        <v>1044</v>
      </c>
      <c r="O216" s="7" t="s">
        <v>119</v>
      </c>
      <c r="P216" s="7" t="s">
        <v>1045</v>
      </c>
      <c r="Q216" s="8" t="s">
        <v>58</v>
      </c>
      <c r="R216" s="7" t="s">
        <v>33</v>
      </c>
      <c r="S216" s="7" t="s">
        <v>34</v>
      </c>
      <c r="T216" s="10">
        <v>0</v>
      </c>
      <c r="U216" s="7" t="s">
        <v>35</v>
      </c>
      <c r="V216" s="10" t="s">
        <v>49</v>
      </c>
      <c r="W216" s="7" t="s">
        <v>35</v>
      </c>
      <c r="X216" s="10" t="s">
        <v>36</v>
      </c>
      <c r="Y216" s="7" t="s">
        <v>59</v>
      </c>
    </row>
    <row x14ac:dyDescent="0.25" r="217" customHeight="1" ht="18.75">
      <c r="A217" s="11">
        <v>74021119</v>
      </c>
      <c r="B217" s="12">
        <v>635</v>
      </c>
      <c r="C217" s="13" t="s">
        <v>1114</v>
      </c>
      <c r="D217" s="13" t="s">
        <v>1115</v>
      </c>
      <c r="E217" s="14">
        <v>74021119</v>
      </c>
      <c r="F217" s="14">
        <v>635</v>
      </c>
      <c r="G217" s="13" t="s">
        <v>27</v>
      </c>
      <c r="H217" s="13" t="s">
        <v>1116</v>
      </c>
      <c r="I217" s="13" t="s">
        <v>1117</v>
      </c>
      <c r="J217" s="14">
        <f>79384731492</f>
      </c>
      <c r="K217" s="9"/>
      <c r="L217" s="13" t="s">
        <v>54</v>
      </c>
      <c r="M217" s="14">
        <v>77</v>
      </c>
      <c r="N217" s="13" t="s">
        <v>1044</v>
      </c>
      <c r="O217" s="13" t="s">
        <v>119</v>
      </c>
      <c r="P217" s="13" t="s">
        <v>1045</v>
      </c>
      <c r="Q217" s="14" t="s">
        <v>58</v>
      </c>
      <c r="R217" s="13" t="s">
        <v>33</v>
      </c>
      <c r="S217" s="13" t="s">
        <v>34</v>
      </c>
      <c r="T217" s="15">
        <v>0</v>
      </c>
      <c r="U217" s="13" t="s">
        <v>35</v>
      </c>
      <c r="V217" s="15" t="s">
        <v>214</v>
      </c>
      <c r="W217" s="13" t="s">
        <v>48</v>
      </c>
      <c r="X217" s="15" t="s">
        <v>36</v>
      </c>
      <c r="Y217" s="13" t="s">
        <v>37</v>
      </c>
    </row>
    <row x14ac:dyDescent="0.25" r="218" customHeight="1" ht="18.75">
      <c r="A218" s="5">
        <v>74021120</v>
      </c>
      <c r="B218" s="6">
        <v>636</v>
      </c>
      <c r="C218" s="7" t="s">
        <v>1118</v>
      </c>
      <c r="D218" s="7" t="s">
        <v>1119</v>
      </c>
      <c r="E218" s="8">
        <v>74021120</v>
      </c>
      <c r="F218" s="8">
        <v>636</v>
      </c>
      <c r="G218" s="7" t="s">
        <v>27</v>
      </c>
      <c r="H218" s="7" t="s">
        <v>1120</v>
      </c>
      <c r="I218" s="7" t="s">
        <v>1121</v>
      </c>
      <c r="J218" s="8">
        <f>79384731556</f>
      </c>
      <c r="K218" s="9"/>
      <c r="L218" s="7" t="s">
        <v>54</v>
      </c>
      <c r="M218" s="8">
        <v>77</v>
      </c>
      <c r="N218" s="7" t="s">
        <v>1044</v>
      </c>
      <c r="O218" s="7" t="s">
        <v>119</v>
      </c>
      <c r="P218" s="7" t="s">
        <v>1045</v>
      </c>
      <c r="Q218" s="8" t="s">
        <v>58</v>
      </c>
      <c r="R218" s="7" t="s">
        <v>33</v>
      </c>
      <c r="S218" s="7" t="s">
        <v>34</v>
      </c>
      <c r="T218" s="10">
        <v>0</v>
      </c>
      <c r="U218" s="7" t="s">
        <v>48</v>
      </c>
      <c r="V218" s="10" t="s">
        <v>49</v>
      </c>
      <c r="W218" s="7" t="s">
        <v>48</v>
      </c>
      <c r="X218" s="10" t="s">
        <v>36</v>
      </c>
      <c r="Y218" s="7" t="s">
        <v>59</v>
      </c>
    </row>
    <row x14ac:dyDescent="0.25" r="219" customHeight="1" ht="18.75">
      <c r="A219" s="11">
        <v>74021121</v>
      </c>
      <c r="B219" s="12">
        <v>637</v>
      </c>
      <c r="C219" s="13" t="s">
        <v>1122</v>
      </c>
      <c r="D219" s="13" t="s">
        <v>1123</v>
      </c>
      <c r="E219" s="14">
        <v>74021121</v>
      </c>
      <c r="F219" s="14">
        <v>637</v>
      </c>
      <c r="G219" s="13" t="s">
        <v>27</v>
      </c>
      <c r="H219" s="13" t="s">
        <v>1124</v>
      </c>
      <c r="I219" s="13" t="s">
        <v>1125</v>
      </c>
      <c r="J219" s="14">
        <f>79384731736</f>
      </c>
      <c r="K219" s="9"/>
      <c r="L219" s="13" t="s">
        <v>54</v>
      </c>
      <c r="M219" s="14">
        <v>188</v>
      </c>
      <c r="N219" s="13" t="s">
        <v>55</v>
      </c>
      <c r="O219" s="13" t="s">
        <v>119</v>
      </c>
      <c r="P219" s="13" t="s">
        <v>1045</v>
      </c>
      <c r="Q219" s="14" t="s">
        <v>58</v>
      </c>
      <c r="R219" s="13" t="s">
        <v>33</v>
      </c>
      <c r="S219" s="13" t="s">
        <v>34</v>
      </c>
      <c r="T219" s="15">
        <v>0</v>
      </c>
      <c r="U219" s="13" t="s">
        <v>35</v>
      </c>
      <c r="V219" s="15" t="s">
        <v>214</v>
      </c>
      <c r="W219" s="13" t="s">
        <v>48</v>
      </c>
      <c r="X219" s="15" t="s">
        <v>36</v>
      </c>
      <c r="Y219" s="13" t="s">
        <v>59</v>
      </c>
    </row>
    <row x14ac:dyDescent="0.25" r="220" customHeight="1" ht="18.75">
      <c r="A220" s="5">
        <v>74021125</v>
      </c>
      <c r="B220" s="6">
        <v>642</v>
      </c>
      <c r="C220" s="7" t="s">
        <v>1126</v>
      </c>
      <c r="D220" s="7" t="s">
        <v>1127</v>
      </c>
      <c r="E220" s="8">
        <v>74021125</v>
      </c>
      <c r="F220" s="8">
        <v>642</v>
      </c>
      <c r="G220" s="7" t="s">
        <v>27</v>
      </c>
      <c r="H220" s="7" t="s">
        <v>1128</v>
      </c>
      <c r="I220" s="7" t="s">
        <v>1129</v>
      </c>
      <c r="J220" s="8"/>
      <c r="K220" s="8"/>
      <c r="L220" s="7" t="s">
        <v>94</v>
      </c>
      <c r="M220" s="8">
        <v>100134</v>
      </c>
      <c r="N220" s="7" t="s">
        <v>1130</v>
      </c>
      <c r="O220" s="7" t="s">
        <v>96</v>
      </c>
      <c r="P220" s="7" t="s">
        <v>165</v>
      </c>
      <c r="Q220" s="8" t="s">
        <v>1131</v>
      </c>
      <c r="R220" s="7" t="s">
        <v>33</v>
      </c>
      <c r="S220" s="7" t="s">
        <v>34</v>
      </c>
      <c r="T220" s="10">
        <v>0</v>
      </c>
      <c r="U220" s="7" t="s">
        <v>48</v>
      </c>
      <c r="V220" s="10" t="s">
        <v>64</v>
      </c>
      <c r="W220" s="7" t="s">
        <v>48</v>
      </c>
      <c r="X220" s="10" t="s">
        <v>36</v>
      </c>
      <c r="Y220" s="7" t="s">
        <v>37</v>
      </c>
    </row>
    <row x14ac:dyDescent="0.25" r="221" customHeight="1" ht="18.75">
      <c r="A221" s="11">
        <v>74021126</v>
      </c>
      <c r="B221" s="12">
        <v>643</v>
      </c>
      <c r="C221" s="13" t="s">
        <v>1132</v>
      </c>
      <c r="D221" s="13" t="s">
        <v>1133</v>
      </c>
      <c r="E221" s="14">
        <v>74021126</v>
      </c>
      <c r="F221" s="14">
        <v>643</v>
      </c>
      <c r="G221" s="13" t="s">
        <v>27</v>
      </c>
      <c r="H221" s="13" t="s">
        <v>1134</v>
      </c>
      <c r="I221" s="13" t="s">
        <v>1135</v>
      </c>
      <c r="J221" s="14">
        <f>79624518400</f>
      </c>
      <c r="K221" s="9"/>
      <c r="L221" s="13" t="s">
        <v>117</v>
      </c>
      <c r="M221" s="14">
        <v>210</v>
      </c>
      <c r="N221" s="13" t="s">
        <v>118</v>
      </c>
      <c r="O221" s="13" t="s">
        <v>119</v>
      </c>
      <c r="P221" s="13" t="s">
        <v>963</v>
      </c>
      <c r="Q221" s="14" t="s">
        <v>58</v>
      </c>
      <c r="R221" s="13" t="s">
        <v>33</v>
      </c>
      <c r="S221" s="13" t="s">
        <v>34</v>
      </c>
      <c r="T221" s="15">
        <v>0</v>
      </c>
      <c r="U221" s="13"/>
      <c r="V221" s="15">
        <v>0</v>
      </c>
      <c r="W221" s="13" t="s">
        <v>48</v>
      </c>
      <c r="X221" s="15" t="s">
        <v>36</v>
      </c>
      <c r="Y221" s="13" t="s">
        <v>37</v>
      </c>
    </row>
    <row x14ac:dyDescent="0.25" r="222" customHeight="1" ht="18.75">
      <c r="A222" s="5">
        <v>74021127</v>
      </c>
      <c r="B222" s="6">
        <v>644</v>
      </c>
      <c r="C222" s="7" t="s">
        <v>1136</v>
      </c>
      <c r="D222" s="7" t="s">
        <v>1137</v>
      </c>
      <c r="E222" s="8">
        <v>74021127</v>
      </c>
      <c r="F222" s="8">
        <v>644</v>
      </c>
      <c r="G222" s="7" t="s">
        <v>27</v>
      </c>
      <c r="H222" s="7" t="s">
        <v>1138</v>
      </c>
      <c r="I222" s="7" t="s">
        <v>1139</v>
      </c>
      <c r="J222" s="8">
        <f>73472262444</f>
      </c>
      <c r="K222" s="8">
        <v>1021</v>
      </c>
      <c r="L222" s="7" t="s">
        <v>94</v>
      </c>
      <c r="M222" s="8">
        <v>94</v>
      </c>
      <c r="N222" s="7" t="s">
        <v>1140</v>
      </c>
      <c r="O222" s="7" t="s">
        <v>96</v>
      </c>
      <c r="P222" s="7" t="s">
        <v>97</v>
      </c>
      <c r="Q222" s="8" t="s">
        <v>1141</v>
      </c>
      <c r="R222" s="7" t="s">
        <v>33</v>
      </c>
      <c r="S222" s="7" t="s">
        <v>34</v>
      </c>
      <c r="T222" s="10">
        <v>0</v>
      </c>
      <c r="U222" s="7" t="s">
        <v>48</v>
      </c>
      <c r="V222" s="10" t="s">
        <v>64</v>
      </c>
      <c r="W222" s="7" t="s">
        <v>48</v>
      </c>
      <c r="X222" s="10" t="s">
        <v>36</v>
      </c>
      <c r="Y222" s="7" t="s">
        <v>37</v>
      </c>
    </row>
    <row x14ac:dyDescent="0.25" r="223" customHeight="1" ht="18.75">
      <c r="A223" s="11">
        <v>74021130</v>
      </c>
      <c r="B223" s="12">
        <v>648</v>
      </c>
      <c r="C223" s="13" t="s">
        <v>1142</v>
      </c>
      <c r="D223" s="13" t="s">
        <v>1143</v>
      </c>
      <c r="E223" s="14">
        <v>74021130</v>
      </c>
      <c r="F223" s="14">
        <v>648</v>
      </c>
      <c r="G223" s="13" t="s">
        <v>27</v>
      </c>
      <c r="H223" s="13" t="s">
        <v>1144</v>
      </c>
      <c r="I223" s="13" t="s">
        <v>1145</v>
      </c>
      <c r="J223" s="14">
        <f>79312574308</f>
      </c>
      <c r="K223" s="9"/>
      <c r="L223" s="13" t="s">
        <v>54</v>
      </c>
      <c r="M223" s="14">
        <v>188</v>
      </c>
      <c r="N223" s="13" t="s">
        <v>55</v>
      </c>
      <c r="O223" s="13" t="s">
        <v>56</v>
      </c>
      <c r="P223" s="13" t="s">
        <v>57</v>
      </c>
      <c r="Q223" s="14" t="s">
        <v>58</v>
      </c>
      <c r="R223" s="13" t="s">
        <v>33</v>
      </c>
      <c r="S223" s="13" t="s">
        <v>34</v>
      </c>
      <c r="T223" s="15">
        <v>0</v>
      </c>
      <c r="U223" s="13"/>
      <c r="V223" s="15">
        <v>0</v>
      </c>
      <c r="W223" s="13" t="s">
        <v>48</v>
      </c>
      <c r="X223" s="15" t="s">
        <v>36</v>
      </c>
      <c r="Y223" s="13" t="s">
        <v>84</v>
      </c>
    </row>
    <row x14ac:dyDescent="0.25" r="224" customHeight="1" ht="18.75">
      <c r="A224" s="5">
        <v>74021132</v>
      </c>
      <c r="B224" s="6">
        <v>649</v>
      </c>
      <c r="C224" s="7" t="s">
        <v>1146</v>
      </c>
      <c r="D224" s="7" t="s">
        <v>1147</v>
      </c>
      <c r="E224" s="8">
        <v>74021132</v>
      </c>
      <c r="F224" s="8">
        <v>649</v>
      </c>
      <c r="G224" s="7" t="s">
        <v>27</v>
      </c>
      <c r="H224" s="7" t="s">
        <v>1148</v>
      </c>
      <c r="I224" s="7" t="s">
        <v>1149</v>
      </c>
      <c r="J224" s="8">
        <f>74951160305</f>
      </c>
      <c r="K224" s="9"/>
      <c r="L224" s="7" t="s">
        <v>388</v>
      </c>
      <c r="M224" s="8">
        <v>245</v>
      </c>
      <c r="N224" s="7" t="s">
        <v>389</v>
      </c>
      <c r="O224" s="7" t="s">
        <v>32</v>
      </c>
      <c r="P224" s="7" t="s">
        <v>32</v>
      </c>
      <c r="Q224" s="8" t="s">
        <v>1150</v>
      </c>
      <c r="R224" s="7" t="s">
        <v>33</v>
      </c>
      <c r="S224" s="7" t="s">
        <v>34</v>
      </c>
      <c r="T224" s="10">
        <v>0</v>
      </c>
      <c r="U224" s="7"/>
      <c r="V224" s="10">
        <v>0</v>
      </c>
      <c r="W224" s="7" t="s">
        <v>48</v>
      </c>
      <c r="X224" s="10" t="s">
        <v>36</v>
      </c>
      <c r="Y224" s="7" t="s">
        <v>37</v>
      </c>
    </row>
    <row x14ac:dyDescent="0.25" r="225" customHeight="1" ht="18.75">
      <c r="A225" s="11">
        <v>74021147</v>
      </c>
      <c r="B225" s="12">
        <v>661</v>
      </c>
      <c r="C225" s="13" t="s">
        <v>1151</v>
      </c>
      <c r="D225" s="13" t="s">
        <v>1152</v>
      </c>
      <c r="E225" s="14">
        <v>74021147</v>
      </c>
      <c r="F225" s="14">
        <v>661</v>
      </c>
      <c r="G225" s="13" t="s">
        <v>27</v>
      </c>
      <c r="H225" s="13" t="s">
        <v>1153</v>
      </c>
      <c r="I225" s="13" t="s">
        <v>1154</v>
      </c>
      <c r="J225" s="14">
        <f>73412912529</f>
      </c>
      <c r="K225" s="9"/>
      <c r="L225" s="13" t="s">
        <v>42</v>
      </c>
      <c r="M225" s="14">
        <v>132</v>
      </c>
      <c r="N225" s="13" t="s">
        <v>820</v>
      </c>
      <c r="O225" s="13" t="s">
        <v>44</v>
      </c>
      <c r="P225" s="13" t="s">
        <v>45</v>
      </c>
      <c r="Q225" s="14" t="s">
        <v>1155</v>
      </c>
      <c r="R225" s="13" t="s">
        <v>33</v>
      </c>
      <c r="S225" s="13" t="s">
        <v>34</v>
      </c>
      <c r="T225" s="15">
        <v>0</v>
      </c>
      <c r="U225" s="13"/>
      <c r="V225" s="15">
        <v>0</v>
      </c>
      <c r="W225" s="13" t="s">
        <v>48</v>
      </c>
      <c r="X225" s="15" t="s">
        <v>36</v>
      </c>
      <c r="Y225" s="13" t="s">
        <v>37</v>
      </c>
    </row>
    <row x14ac:dyDescent="0.25" r="226" customHeight="1" ht="18.75">
      <c r="A226" s="5">
        <v>74021148</v>
      </c>
      <c r="B226" s="6">
        <v>662</v>
      </c>
      <c r="C226" s="7" t="s">
        <v>1156</v>
      </c>
      <c r="D226" s="7" t="s">
        <v>1157</v>
      </c>
      <c r="E226" s="8">
        <v>74021148</v>
      </c>
      <c r="F226" s="8">
        <v>662</v>
      </c>
      <c r="G226" s="7" t="s">
        <v>27</v>
      </c>
      <c r="H226" s="7" t="s">
        <v>1158</v>
      </c>
      <c r="I226" s="7" t="s">
        <v>1159</v>
      </c>
      <c r="J226" s="8">
        <f>79217679435</f>
      </c>
      <c r="K226" s="9"/>
      <c r="L226" s="7" t="s">
        <v>54</v>
      </c>
      <c r="M226" s="8">
        <v>188</v>
      </c>
      <c r="N226" s="7" t="s">
        <v>55</v>
      </c>
      <c r="O226" s="7" t="s">
        <v>56</v>
      </c>
      <c r="P226" s="7" t="s">
        <v>57</v>
      </c>
      <c r="Q226" s="8" t="s">
        <v>58</v>
      </c>
      <c r="R226" s="7" t="s">
        <v>33</v>
      </c>
      <c r="S226" s="7" t="s">
        <v>34</v>
      </c>
      <c r="T226" s="10">
        <v>0</v>
      </c>
      <c r="U226" s="7"/>
      <c r="V226" s="10">
        <v>0</v>
      </c>
      <c r="W226" s="7" t="s">
        <v>48</v>
      </c>
      <c r="X226" s="10" t="s">
        <v>36</v>
      </c>
      <c r="Y226" s="7" t="s">
        <v>37</v>
      </c>
    </row>
    <row x14ac:dyDescent="0.25" r="227" customHeight="1" ht="18.75">
      <c r="A227" s="11">
        <v>74021150</v>
      </c>
      <c r="B227" s="12">
        <v>663</v>
      </c>
      <c r="C227" s="13" t="s">
        <v>1160</v>
      </c>
      <c r="D227" s="13" t="s">
        <v>1161</v>
      </c>
      <c r="E227" s="14">
        <v>74021150</v>
      </c>
      <c r="F227" s="14">
        <v>663</v>
      </c>
      <c r="G227" s="13" t="s">
        <v>27</v>
      </c>
      <c r="H227" s="13" t="s">
        <v>1162</v>
      </c>
      <c r="I227" s="13" t="s">
        <v>1163</v>
      </c>
      <c r="J227" s="14">
        <f>79052707469</f>
      </c>
      <c r="K227" s="9"/>
      <c r="L227" s="13" t="s">
        <v>54</v>
      </c>
      <c r="M227" s="14">
        <v>188</v>
      </c>
      <c r="N227" s="13" t="s">
        <v>55</v>
      </c>
      <c r="O227" s="13" t="s">
        <v>56</v>
      </c>
      <c r="P227" s="13" t="s">
        <v>57</v>
      </c>
      <c r="Q227" s="14" t="s">
        <v>58</v>
      </c>
      <c r="R227" s="13" t="s">
        <v>33</v>
      </c>
      <c r="S227" s="13" t="s">
        <v>34</v>
      </c>
      <c r="T227" s="15">
        <v>0</v>
      </c>
      <c r="U227" s="13"/>
      <c r="V227" s="15">
        <v>0</v>
      </c>
      <c r="W227" s="13" t="s">
        <v>48</v>
      </c>
      <c r="X227" s="15" t="s">
        <v>36</v>
      </c>
      <c r="Y227" s="13" t="s">
        <v>126</v>
      </c>
    </row>
    <row x14ac:dyDescent="0.25" r="228" customHeight="1" ht="18.75">
      <c r="A228" s="5">
        <v>74021151</v>
      </c>
      <c r="B228" s="6">
        <v>664</v>
      </c>
      <c r="C228" s="7" t="s">
        <v>1164</v>
      </c>
      <c r="D228" s="7" t="s">
        <v>1165</v>
      </c>
      <c r="E228" s="8">
        <v>74021151</v>
      </c>
      <c r="F228" s="8">
        <v>664</v>
      </c>
      <c r="G228" s="7" t="s">
        <v>27</v>
      </c>
      <c r="H228" s="7" t="s">
        <v>1166</v>
      </c>
      <c r="I228" s="7" t="s">
        <v>1167</v>
      </c>
      <c r="J228" s="8">
        <f>79312577857</f>
      </c>
      <c r="K228" s="9"/>
      <c r="L228" s="7" t="s">
        <v>54</v>
      </c>
      <c r="M228" s="8">
        <v>188</v>
      </c>
      <c r="N228" s="7" t="s">
        <v>55</v>
      </c>
      <c r="O228" s="7" t="s">
        <v>56</v>
      </c>
      <c r="P228" s="7" t="s">
        <v>57</v>
      </c>
      <c r="Q228" s="8" t="s">
        <v>58</v>
      </c>
      <c r="R228" s="7" t="s">
        <v>33</v>
      </c>
      <c r="S228" s="7" t="s">
        <v>34</v>
      </c>
      <c r="T228" s="10">
        <v>0</v>
      </c>
      <c r="U228" s="7"/>
      <c r="V228" s="10">
        <v>0</v>
      </c>
      <c r="W228" s="7" t="s">
        <v>48</v>
      </c>
      <c r="X228" s="10" t="s">
        <v>36</v>
      </c>
      <c r="Y228" s="7" t="s">
        <v>84</v>
      </c>
    </row>
    <row x14ac:dyDescent="0.25" r="229" customHeight="1" ht="18.75">
      <c r="A229" s="11">
        <v>74021152</v>
      </c>
      <c r="B229" s="12">
        <v>665</v>
      </c>
      <c r="C229" s="13" t="s">
        <v>1168</v>
      </c>
      <c r="D229" s="13" t="s">
        <v>1169</v>
      </c>
      <c r="E229" s="14">
        <v>74021152</v>
      </c>
      <c r="F229" s="14">
        <v>665</v>
      </c>
      <c r="G229" s="13" t="s">
        <v>27</v>
      </c>
      <c r="H229" s="13" t="s">
        <v>1170</v>
      </c>
      <c r="I229" s="13" t="s">
        <v>1171</v>
      </c>
      <c r="J229" s="14">
        <f>78452659941</f>
      </c>
      <c r="K229" s="9"/>
      <c r="L229" s="13" t="s">
        <v>327</v>
      </c>
      <c r="M229" s="14">
        <v>100623</v>
      </c>
      <c r="N229" s="13" t="s">
        <v>328</v>
      </c>
      <c r="O229" s="13" t="s">
        <v>44</v>
      </c>
      <c r="P229" s="13" t="s">
        <v>329</v>
      </c>
      <c r="Q229" s="14" t="s">
        <v>1172</v>
      </c>
      <c r="R229" s="13" t="s">
        <v>33</v>
      </c>
      <c r="S229" s="13" t="s">
        <v>34</v>
      </c>
      <c r="T229" s="15">
        <v>0</v>
      </c>
      <c r="U229" s="13" t="s">
        <v>48</v>
      </c>
      <c r="V229" s="15" t="s">
        <v>64</v>
      </c>
      <c r="W229" s="13" t="s">
        <v>48</v>
      </c>
      <c r="X229" s="15" t="s">
        <v>36</v>
      </c>
      <c r="Y229" s="13" t="s">
        <v>126</v>
      </c>
    </row>
    <row x14ac:dyDescent="0.25" r="230" customHeight="1" ht="18.75">
      <c r="A230" s="5">
        <v>74021157</v>
      </c>
      <c r="B230" s="6">
        <v>670</v>
      </c>
      <c r="C230" s="7" t="s">
        <v>1173</v>
      </c>
      <c r="D230" s="7" t="s">
        <v>1174</v>
      </c>
      <c r="E230" s="8">
        <v>74021157</v>
      </c>
      <c r="F230" s="8">
        <v>670</v>
      </c>
      <c r="G230" s="7" t="s">
        <v>27</v>
      </c>
      <c r="H230" s="7" t="s">
        <v>1175</v>
      </c>
      <c r="I230" s="7" t="s">
        <v>1176</v>
      </c>
      <c r="J230" s="8">
        <f>74994041973</f>
      </c>
      <c r="K230" s="9"/>
      <c r="L230" s="7" t="s">
        <v>131</v>
      </c>
      <c r="M230" s="8">
        <v>97</v>
      </c>
      <c r="N230" s="7" t="s">
        <v>1177</v>
      </c>
      <c r="O230" s="7" t="s">
        <v>82</v>
      </c>
      <c r="P230" s="7" t="s">
        <v>1178</v>
      </c>
      <c r="Q230" s="8" t="s">
        <v>1179</v>
      </c>
      <c r="R230" s="7" t="s">
        <v>33</v>
      </c>
      <c r="S230" s="7" t="s">
        <v>34</v>
      </c>
      <c r="T230" s="10">
        <v>0</v>
      </c>
      <c r="U230" s="7" t="s">
        <v>48</v>
      </c>
      <c r="V230" s="10" t="s">
        <v>64</v>
      </c>
      <c r="W230" s="7" t="s">
        <v>48</v>
      </c>
      <c r="X230" s="10" t="s">
        <v>36</v>
      </c>
      <c r="Y230" s="7" t="s">
        <v>126</v>
      </c>
    </row>
    <row x14ac:dyDescent="0.25" r="231" customHeight="1" ht="18.75">
      <c r="A231" s="11">
        <v>74021159</v>
      </c>
      <c r="B231" s="12">
        <v>671</v>
      </c>
      <c r="C231" s="13" t="s">
        <v>1180</v>
      </c>
      <c r="D231" s="13" t="s">
        <v>1181</v>
      </c>
      <c r="E231" s="14">
        <v>74021159</v>
      </c>
      <c r="F231" s="14">
        <v>671</v>
      </c>
      <c r="G231" s="13" t="s">
        <v>27</v>
      </c>
      <c r="H231" s="13" t="s">
        <v>1182</v>
      </c>
      <c r="I231" s="13" t="s">
        <v>1183</v>
      </c>
      <c r="J231" s="14">
        <f>79634174001</f>
      </c>
      <c r="K231" s="9"/>
      <c r="L231" s="13" t="s">
        <v>117</v>
      </c>
      <c r="M231" s="14">
        <v>210</v>
      </c>
      <c r="N231" s="13" t="s">
        <v>118</v>
      </c>
      <c r="O231" s="13" t="s">
        <v>119</v>
      </c>
      <c r="P231" s="13" t="s">
        <v>806</v>
      </c>
      <c r="Q231" s="14" t="s">
        <v>58</v>
      </c>
      <c r="R231" s="13" t="s">
        <v>33</v>
      </c>
      <c r="S231" s="13" t="s">
        <v>34</v>
      </c>
      <c r="T231" s="15">
        <v>0</v>
      </c>
      <c r="U231" s="13"/>
      <c r="V231" s="15">
        <v>0</v>
      </c>
      <c r="W231" s="13" t="s">
        <v>48</v>
      </c>
      <c r="X231" s="15" t="s">
        <v>36</v>
      </c>
      <c r="Y231" s="13" t="s">
        <v>37</v>
      </c>
    </row>
    <row x14ac:dyDescent="0.25" r="232" customHeight="1" ht="18.75">
      <c r="A232" s="5">
        <v>74021160</v>
      </c>
      <c r="B232" s="6">
        <v>673</v>
      </c>
      <c r="C232" s="7" t="s">
        <v>1184</v>
      </c>
      <c r="D232" s="7" t="s">
        <v>1185</v>
      </c>
      <c r="E232" s="8">
        <v>74021160</v>
      </c>
      <c r="F232" s="8">
        <v>673</v>
      </c>
      <c r="G232" s="7" t="s">
        <v>27</v>
      </c>
      <c r="H232" s="7" t="s">
        <v>1186</v>
      </c>
      <c r="I232" s="7" t="s">
        <v>1187</v>
      </c>
      <c r="J232" s="8">
        <f>74952322688</f>
      </c>
      <c r="K232" s="9"/>
      <c r="L232" s="7" t="s">
        <v>388</v>
      </c>
      <c r="M232" s="8">
        <v>245</v>
      </c>
      <c r="N232" s="7" t="s">
        <v>389</v>
      </c>
      <c r="O232" s="7" t="s">
        <v>32</v>
      </c>
      <c r="P232" s="7" t="s">
        <v>32</v>
      </c>
      <c r="Q232" s="8" t="s">
        <v>1188</v>
      </c>
      <c r="R232" s="7" t="s">
        <v>33</v>
      </c>
      <c r="S232" s="7" t="s">
        <v>34</v>
      </c>
      <c r="T232" s="10">
        <v>0</v>
      </c>
      <c r="U232" s="7"/>
      <c r="V232" s="10">
        <v>0</v>
      </c>
      <c r="W232" s="7" t="s">
        <v>48</v>
      </c>
      <c r="X232" s="10" t="s">
        <v>36</v>
      </c>
      <c r="Y232" s="7" t="s">
        <v>37</v>
      </c>
    </row>
    <row x14ac:dyDescent="0.25" r="233" customHeight="1" ht="18.75">
      <c r="A233" s="11">
        <v>74021162</v>
      </c>
      <c r="B233" s="12">
        <v>675</v>
      </c>
      <c r="C233" s="13" t="s">
        <v>1189</v>
      </c>
      <c r="D233" s="13" t="s">
        <v>1190</v>
      </c>
      <c r="E233" s="14">
        <v>74021162</v>
      </c>
      <c r="F233" s="14">
        <v>675</v>
      </c>
      <c r="G233" s="13" t="s">
        <v>27</v>
      </c>
      <c r="H233" s="13" t="s">
        <v>1191</v>
      </c>
      <c r="I233" s="13" t="s">
        <v>1192</v>
      </c>
      <c r="J233" s="14">
        <f>79094327155</f>
      </c>
      <c r="K233" s="9"/>
      <c r="L233" s="13" t="s">
        <v>117</v>
      </c>
      <c r="M233" s="14">
        <v>210</v>
      </c>
      <c r="N233" s="13" t="s">
        <v>118</v>
      </c>
      <c r="O233" s="13" t="s">
        <v>119</v>
      </c>
      <c r="P233" s="13" t="s">
        <v>120</v>
      </c>
      <c r="Q233" s="14" t="s">
        <v>58</v>
      </c>
      <c r="R233" s="13" t="s">
        <v>33</v>
      </c>
      <c r="S233" s="13" t="s">
        <v>34</v>
      </c>
      <c r="T233" s="15">
        <v>0</v>
      </c>
      <c r="U233" s="13"/>
      <c r="V233" s="15">
        <v>0</v>
      </c>
      <c r="W233" s="13" t="s">
        <v>48</v>
      </c>
      <c r="X233" s="15" t="s">
        <v>36</v>
      </c>
      <c r="Y233" s="13" t="s">
        <v>37</v>
      </c>
    </row>
    <row x14ac:dyDescent="0.25" r="234" customHeight="1" ht="18.75">
      <c r="A234" s="5">
        <v>74021163</v>
      </c>
      <c r="B234" s="6">
        <v>676</v>
      </c>
      <c r="C234" s="7" t="s">
        <v>1193</v>
      </c>
      <c r="D234" s="7" t="s">
        <v>1194</v>
      </c>
      <c r="E234" s="8">
        <v>74021163</v>
      </c>
      <c r="F234" s="8">
        <v>676</v>
      </c>
      <c r="G234" s="7" t="s">
        <v>27</v>
      </c>
      <c r="H234" s="7" t="s">
        <v>1195</v>
      </c>
      <c r="I234" s="7" t="s">
        <v>1196</v>
      </c>
      <c r="J234" s="8">
        <f>79662066932</f>
      </c>
      <c r="K234" s="9"/>
      <c r="L234" s="7" t="s">
        <v>117</v>
      </c>
      <c r="M234" s="8">
        <v>210</v>
      </c>
      <c r="N234" s="7" t="s">
        <v>118</v>
      </c>
      <c r="O234" s="7" t="s">
        <v>119</v>
      </c>
      <c r="P234" s="7" t="s">
        <v>1197</v>
      </c>
      <c r="Q234" s="8" t="s">
        <v>58</v>
      </c>
      <c r="R234" s="7" t="s">
        <v>33</v>
      </c>
      <c r="S234" s="7" t="s">
        <v>34</v>
      </c>
      <c r="T234" s="10">
        <v>0</v>
      </c>
      <c r="U234" s="7"/>
      <c r="V234" s="10">
        <v>0</v>
      </c>
      <c r="W234" s="7" t="s">
        <v>48</v>
      </c>
      <c r="X234" s="10" t="s">
        <v>36</v>
      </c>
      <c r="Y234" s="7" t="s">
        <v>37</v>
      </c>
    </row>
    <row x14ac:dyDescent="0.25" r="235" customHeight="1" ht="18.75">
      <c r="A235" s="11">
        <v>74021165</v>
      </c>
      <c r="B235" s="12">
        <v>678</v>
      </c>
      <c r="C235" s="13" t="s">
        <v>1198</v>
      </c>
      <c r="D235" s="13" t="s">
        <v>1199</v>
      </c>
      <c r="E235" s="14">
        <v>74021165</v>
      </c>
      <c r="F235" s="14">
        <v>678</v>
      </c>
      <c r="G235" s="13" t="s">
        <v>27</v>
      </c>
      <c r="H235" s="13" t="s">
        <v>1200</v>
      </c>
      <c r="I235" s="13" t="s">
        <v>1201</v>
      </c>
      <c r="J235" s="14">
        <f>79384739181</f>
      </c>
      <c r="K235" s="9"/>
      <c r="L235" s="13" t="s">
        <v>54</v>
      </c>
      <c r="M235" s="14">
        <v>77</v>
      </c>
      <c r="N235" s="13" t="s">
        <v>1044</v>
      </c>
      <c r="O235" s="13" t="s">
        <v>119</v>
      </c>
      <c r="P235" s="13" t="s">
        <v>1038</v>
      </c>
      <c r="Q235" s="14" t="s">
        <v>1039</v>
      </c>
      <c r="R235" s="13" t="s">
        <v>33</v>
      </c>
      <c r="S235" s="13" t="s">
        <v>34</v>
      </c>
      <c r="T235" s="15">
        <v>0</v>
      </c>
      <c r="U235" s="13"/>
      <c r="V235" s="15">
        <v>0</v>
      </c>
      <c r="W235" s="13" t="s">
        <v>48</v>
      </c>
      <c r="X235" s="15" t="s">
        <v>36</v>
      </c>
      <c r="Y235" s="13" t="s">
        <v>37</v>
      </c>
    </row>
    <row x14ac:dyDescent="0.25" r="236" customHeight="1" ht="18.75">
      <c r="A236" s="5">
        <v>74021166</v>
      </c>
      <c r="B236" s="6">
        <v>679</v>
      </c>
      <c r="C236" s="7" t="s">
        <v>1202</v>
      </c>
      <c r="D236" s="7" t="s">
        <v>1203</v>
      </c>
      <c r="E236" s="8">
        <v>74021166</v>
      </c>
      <c r="F236" s="8">
        <v>679</v>
      </c>
      <c r="G236" s="7" t="s">
        <v>27</v>
      </c>
      <c r="H236" s="7" t="s">
        <v>1204</v>
      </c>
      <c r="I236" s="7" t="s">
        <v>1205</v>
      </c>
      <c r="J236" s="8">
        <f>73845649469</f>
      </c>
      <c r="K236" s="9"/>
      <c r="L236" s="7" t="s">
        <v>415</v>
      </c>
      <c r="M236" s="8">
        <v>157</v>
      </c>
      <c r="N236" s="7" t="s">
        <v>416</v>
      </c>
      <c r="O236" s="7" t="s">
        <v>73</v>
      </c>
      <c r="P236" s="7" t="s">
        <v>1206</v>
      </c>
      <c r="Q236" s="8" t="s">
        <v>1207</v>
      </c>
      <c r="R236" s="7" t="s">
        <v>33</v>
      </c>
      <c r="S236" s="7" t="s">
        <v>34</v>
      </c>
      <c r="T236" s="10">
        <v>0</v>
      </c>
      <c r="U236" s="7"/>
      <c r="V236" s="10">
        <v>0</v>
      </c>
      <c r="W236" s="7" t="s">
        <v>48</v>
      </c>
      <c r="X236" s="10" t="s">
        <v>36</v>
      </c>
      <c r="Y236" s="7" t="s">
        <v>37</v>
      </c>
    </row>
    <row x14ac:dyDescent="0.25" r="237" customHeight="1" ht="18.75">
      <c r="A237" s="11">
        <v>74021169</v>
      </c>
      <c r="B237" s="12">
        <v>681</v>
      </c>
      <c r="C237" s="13" t="s">
        <v>1208</v>
      </c>
      <c r="D237" s="13" t="s">
        <v>1209</v>
      </c>
      <c r="E237" s="14">
        <v>74021169</v>
      </c>
      <c r="F237" s="14">
        <v>681</v>
      </c>
      <c r="G237" s="13" t="s">
        <v>27</v>
      </c>
      <c r="H237" s="13" t="s">
        <v>1210</v>
      </c>
      <c r="I237" s="13" t="s">
        <v>1211</v>
      </c>
      <c r="J237" s="14">
        <f>74999638151</f>
      </c>
      <c r="K237" s="9"/>
      <c r="L237" s="13" t="s">
        <v>388</v>
      </c>
      <c r="M237" s="14">
        <v>245</v>
      </c>
      <c r="N237" s="13" t="s">
        <v>389</v>
      </c>
      <c r="O237" s="13" t="s">
        <v>82</v>
      </c>
      <c r="P237" s="13" t="s">
        <v>1212</v>
      </c>
      <c r="Q237" s="14" t="s">
        <v>1213</v>
      </c>
      <c r="R237" s="13" t="s">
        <v>33</v>
      </c>
      <c r="S237" s="13" t="s">
        <v>34</v>
      </c>
      <c r="T237" s="15">
        <v>0</v>
      </c>
      <c r="U237" s="13"/>
      <c r="V237" s="15">
        <v>0</v>
      </c>
      <c r="W237" s="13" t="s">
        <v>48</v>
      </c>
      <c r="X237" s="15" t="s">
        <v>36</v>
      </c>
      <c r="Y237" s="13" t="s">
        <v>37</v>
      </c>
    </row>
    <row x14ac:dyDescent="0.25" r="238" customHeight="1" ht="18.75">
      <c r="A238" s="5">
        <v>74021168</v>
      </c>
      <c r="B238" s="6">
        <v>682</v>
      </c>
      <c r="C238" s="7" t="s">
        <v>1214</v>
      </c>
      <c r="D238" s="7" t="s">
        <v>1215</v>
      </c>
      <c r="E238" s="8">
        <v>74021168</v>
      </c>
      <c r="F238" s="8">
        <v>682</v>
      </c>
      <c r="G238" s="7" t="s">
        <v>27</v>
      </c>
      <c r="H238" s="7" t="s">
        <v>1216</v>
      </c>
      <c r="I238" s="7" t="s">
        <v>1217</v>
      </c>
      <c r="J238" s="8">
        <f>79218976466</f>
      </c>
      <c r="K238" s="9"/>
      <c r="L238" s="7" t="s">
        <v>54</v>
      </c>
      <c r="M238" s="8">
        <v>188</v>
      </c>
      <c r="N238" s="7" t="s">
        <v>55</v>
      </c>
      <c r="O238" s="7" t="s">
        <v>56</v>
      </c>
      <c r="P238" s="7" t="s">
        <v>1218</v>
      </c>
      <c r="Q238" s="8" t="s">
        <v>1219</v>
      </c>
      <c r="R238" s="7" t="s">
        <v>33</v>
      </c>
      <c r="S238" s="7" t="s">
        <v>34</v>
      </c>
      <c r="T238" s="10">
        <v>0</v>
      </c>
      <c r="U238" s="7"/>
      <c r="V238" s="10">
        <v>0</v>
      </c>
      <c r="W238" s="7" t="s">
        <v>48</v>
      </c>
      <c r="X238" s="10" t="s">
        <v>36</v>
      </c>
      <c r="Y238" s="7" t="s">
        <v>37</v>
      </c>
    </row>
    <row x14ac:dyDescent="0.25" r="239" customHeight="1" ht="18.75">
      <c r="A239" s="11">
        <v>74021171</v>
      </c>
      <c r="B239" s="12">
        <v>684</v>
      </c>
      <c r="C239" s="13" t="s">
        <v>1220</v>
      </c>
      <c r="D239" s="13" t="s">
        <v>1221</v>
      </c>
      <c r="E239" s="14">
        <v>74021171</v>
      </c>
      <c r="F239" s="14">
        <v>684</v>
      </c>
      <c r="G239" s="13" t="s">
        <v>27</v>
      </c>
      <c r="H239" s="13" t="s">
        <v>1222</v>
      </c>
      <c r="I239" s="13" t="s">
        <v>1223</v>
      </c>
      <c r="J239" s="14">
        <f>74993228238</f>
      </c>
      <c r="K239" s="9"/>
      <c r="L239" s="13" t="s">
        <v>131</v>
      </c>
      <c r="M239" s="14">
        <v>64</v>
      </c>
      <c r="N239" s="13" t="s">
        <v>286</v>
      </c>
      <c r="O239" s="13" t="s">
        <v>32</v>
      </c>
      <c r="P239" s="13" t="s">
        <v>32</v>
      </c>
      <c r="Q239" s="14" t="s">
        <v>1224</v>
      </c>
      <c r="R239" s="13" t="s">
        <v>33</v>
      </c>
      <c r="S239" s="13" t="s">
        <v>34</v>
      </c>
      <c r="T239" s="15">
        <v>0</v>
      </c>
      <c r="U239" s="13" t="s">
        <v>48</v>
      </c>
      <c r="V239" s="15" t="s">
        <v>64</v>
      </c>
      <c r="W239" s="13" t="s">
        <v>48</v>
      </c>
      <c r="X239" s="15" t="s">
        <v>36</v>
      </c>
      <c r="Y239" s="13" t="s">
        <v>59</v>
      </c>
    </row>
    <row x14ac:dyDescent="0.25" r="240" customHeight="1" ht="18.75">
      <c r="A240" s="5">
        <v>74021179</v>
      </c>
      <c r="B240" s="6">
        <v>861</v>
      </c>
      <c r="C240" s="7" t="s">
        <v>1225</v>
      </c>
      <c r="D240" s="7" t="s">
        <v>1226</v>
      </c>
      <c r="E240" s="8">
        <v>74021179</v>
      </c>
      <c r="F240" s="8">
        <v>861</v>
      </c>
      <c r="G240" s="7" t="s">
        <v>27</v>
      </c>
      <c r="H240" s="7" t="s">
        <v>1227</v>
      </c>
      <c r="I240" s="7" t="s">
        <v>1228</v>
      </c>
      <c r="J240" s="8">
        <f>79263975760</f>
      </c>
      <c r="K240" s="9"/>
      <c r="L240" s="7" t="s">
        <v>1229</v>
      </c>
      <c r="M240" s="8">
        <v>223</v>
      </c>
      <c r="N240" s="7" t="s">
        <v>1230</v>
      </c>
      <c r="O240" s="7" t="s">
        <v>82</v>
      </c>
      <c r="P240" s="7" t="s">
        <v>1231</v>
      </c>
      <c r="Q240" s="8" t="s">
        <v>1232</v>
      </c>
      <c r="R240" s="7" t="s">
        <v>33</v>
      </c>
      <c r="S240" s="7" t="s">
        <v>34</v>
      </c>
      <c r="T240" s="10">
        <v>0</v>
      </c>
      <c r="U240" s="7"/>
      <c r="V240" s="10">
        <v>0</v>
      </c>
      <c r="W240" s="7" t="s">
        <v>48</v>
      </c>
      <c r="X240" s="10" t="s">
        <v>36</v>
      </c>
      <c r="Y240" s="7" t="s">
        <v>126</v>
      </c>
    </row>
    <row x14ac:dyDescent="0.25" r="241" customHeight="1" ht="18.75">
      <c r="A241" s="11">
        <v>74021180</v>
      </c>
      <c r="B241" s="12">
        <v>862</v>
      </c>
      <c r="C241" s="13" t="s">
        <v>1233</v>
      </c>
      <c r="D241" s="13" t="s">
        <v>1234</v>
      </c>
      <c r="E241" s="14">
        <v>74021180</v>
      </c>
      <c r="F241" s="14">
        <v>862</v>
      </c>
      <c r="G241" s="13" t="s">
        <v>27</v>
      </c>
      <c r="H241" s="13" t="s">
        <v>1235</v>
      </c>
      <c r="I241" s="13" t="s">
        <v>1236</v>
      </c>
      <c r="J241" s="14">
        <f>78552926130</f>
      </c>
      <c r="K241" s="9"/>
      <c r="L241" s="13" t="s">
        <v>42</v>
      </c>
      <c r="M241" s="14">
        <v>122</v>
      </c>
      <c r="N241" s="13" t="s">
        <v>139</v>
      </c>
      <c r="O241" s="13" t="s">
        <v>44</v>
      </c>
      <c r="P241" s="13" t="s">
        <v>140</v>
      </c>
      <c r="Q241" s="14" t="s">
        <v>494</v>
      </c>
      <c r="R241" s="13" t="s">
        <v>33</v>
      </c>
      <c r="S241" s="13" t="s">
        <v>34</v>
      </c>
      <c r="T241" s="15">
        <v>0</v>
      </c>
      <c r="U241" s="13"/>
      <c r="V241" s="15">
        <v>0</v>
      </c>
      <c r="W241" s="13" t="s">
        <v>48</v>
      </c>
      <c r="X241" s="15" t="s">
        <v>36</v>
      </c>
      <c r="Y241" s="13" t="s">
        <v>59</v>
      </c>
    </row>
    <row x14ac:dyDescent="0.25" r="242" customHeight="1" ht="18.75">
      <c r="A242" s="5">
        <v>74021181</v>
      </c>
      <c r="B242" s="6">
        <v>863</v>
      </c>
      <c r="C242" s="7" t="s">
        <v>1237</v>
      </c>
      <c r="D242" s="7" t="s">
        <v>1238</v>
      </c>
      <c r="E242" s="8">
        <v>74021181</v>
      </c>
      <c r="F242" s="8">
        <v>863</v>
      </c>
      <c r="G242" s="7" t="s">
        <v>27</v>
      </c>
      <c r="H242" s="7" t="s">
        <v>1239</v>
      </c>
      <c r="I242" s="7" t="s">
        <v>1240</v>
      </c>
      <c r="J242" s="8">
        <f>78453538001</f>
      </c>
      <c r="K242" s="9"/>
      <c r="L242" s="7" t="s">
        <v>327</v>
      </c>
      <c r="M242" s="8">
        <v>100623</v>
      </c>
      <c r="N242" s="7" t="s">
        <v>328</v>
      </c>
      <c r="O242" s="7" t="s">
        <v>44</v>
      </c>
      <c r="P242" s="7" t="s">
        <v>1241</v>
      </c>
      <c r="Q242" s="8" t="s">
        <v>1242</v>
      </c>
      <c r="R242" s="7" t="s">
        <v>33</v>
      </c>
      <c r="S242" s="7" t="s">
        <v>34</v>
      </c>
      <c r="T242" s="10">
        <v>0</v>
      </c>
      <c r="U242" s="7"/>
      <c r="V242" s="10">
        <v>0</v>
      </c>
      <c r="W242" s="7" t="s">
        <v>48</v>
      </c>
      <c r="X242" s="10" t="s">
        <v>36</v>
      </c>
      <c r="Y242" s="7" t="s">
        <v>59</v>
      </c>
    </row>
    <row x14ac:dyDescent="0.25" r="243" customHeight="1" ht="18.75">
      <c r="A243" s="11">
        <v>74021182</v>
      </c>
      <c r="B243" s="12">
        <v>864</v>
      </c>
      <c r="C243" s="13" t="s">
        <v>1243</v>
      </c>
      <c r="D243" s="13" t="s">
        <v>1244</v>
      </c>
      <c r="E243" s="14">
        <v>74021182</v>
      </c>
      <c r="F243" s="14">
        <v>864</v>
      </c>
      <c r="G243" s="13" t="s">
        <v>27</v>
      </c>
      <c r="H243" s="13" t="s">
        <v>1245</v>
      </c>
      <c r="I243" s="13" t="s">
        <v>1246</v>
      </c>
      <c r="J243" s="14">
        <f>79218976467</f>
      </c>
      <c r="K243" s="9"/>
      <c r="L243" s="13" t="s">
        <v>54</v>
      </c>
      <c r="M243" s="14">
        <v>188</v>
      </c>
      <c r="N243" s="13" t="s">
        <v>55</v>
      </c>
      <c r="O243" s="13" t="s">
        <v>56</v>
      </c>
      <c r="P243" s="13" t="s">
        <v>57</v>
      </c>
      <c r="Q243" s="14" t="s">
        <v>58</v>
      </c>
      <c r="R243" s="13" t="s">
        <v>33</v>
      </c>
      <c r="S243" s="13" t="s">
        <v>34</v>
      </c>
      <c r="T243" s="15">
        <v>0</v>
      </c>
      <c r="U243" s="13"/>
      <c r="V243" s="15">
        <v>0</v>
      </c>
      <c r="W243" s="13" t="s">
        <v>48</v>
      </c>
      <c r="X243" s="15" t="s">
        <v>36</v>
      </c>
      <c r="Y243" s="13" t="s">
        <v>59</v>
      </c>
    </row>
    <row x14ac:dyDescent="0.25" r="244" customHeight="1" ht="18.75">
      <c r="A244" s="5">
        <v>74021183</v>
      </c>
      <c r="B244" s="6">
        <v>865</v>
      </c>
      <c r="C244" s="7" t="s">
        <v>1247</v>
      </c>
      <c r="D244" s="7" t="s">
        <v>1248</v>
      </c>
      <c r="E244" s="8">
        <v>74021183</v>
      </c>
      <c r="F244" s="8">
        <v>865</v>
      </c>
      <c r="G244" s="7" t="s">
        <v>27</v>
      </c>
      <c r="H244" s="7" t="s">
        <v>1249</v>
      </c>
      <c r="I244" s="7" t="s">
        <v>1250</v>
      </c>
      <c r="J244" s="8">
        <f>79218976414</f>
      </c>
      <c r="K244" s="9"/>
      <c r="L244" s="7" t="s">
        <v>54</v>
      </c>
      <c r="M244" s="8">
        <v>188</v>
      </c>
      <c r="N244" s="7" t="s">
        <v>55</v>
      </c>
      <c r="O244" s="7" t="s">
        <v>56</v>
      </c>
      <c r="P244" s="7" t="s">
        <v>57</v>
      </c>
      <c r="Q244" s="8" t="s">
        <v>58</v>
      </c>
      <c r="R244" s="7" t="s">
        <v>33</v>
      </c>
      <c r="S244" s="7" t="s">
        <v>34</v>
      </c>
      <c r="T244" s="10">
        <v>0</v>
      </c>
      <c r="U244" s="7"/>
      <c r="V244" s="10">
        <v>0</v>
      </c>
      <c r="W244" s="7" t="s">
        <v>48</v>
      </c>
      <c r="X244" s="10" t="s">
        <v>36</v>
      </c>
      <c r="Y244" s="7" t="s">
        <v>126</v>
      </c>
    </row>
    <row x14ac:dyDescent="0.25" r="245" customHeight="1" ht="18.75">
      <c r="A245" s="11">
        <v>74021184</v>
      </c>
      <c r="B245" s="12">
        <v>867</v>
      </c>
      <c r="C245" s="13" t="s">
        <v>1251</v>
      </c>
      <c r="D245" s="13" t="s">
        <v>1252</v>
      </c>
      <c r="E245" s="14">
        <v>74021184</v>
      </c>
      <c r="F245" s="14">
        <v>867</v>
      </c>
      <c r="G245" s="13" t="s">
        <v>27</v>
      </c>
      <c r="H245" s="13" t="s">
        <v>1253</v>
      </c>
      <c r="I245" s="13" t="s">
        <v>1254</v>
      </c>
      <c r="J245" s="14">
        <f>74993808601</f>
      </c>
      <c r="K245" s="9"/>
      <c r="L245" s="13" t="s">
        <v>131</v>
      </c>
      <c r="M245" s="14">
        <v>64</v>
      </c>
      <c r="N245" s="13" t="s">
        <v>286</v>
      </c>
      <c r="O245" s="13" t="s">
        <v>32</v>
      </c>
      <c r="P245" s="13" t="s">
        <v>32</v>
      </c>
      <c r="Q245" s="14" t="s">
        <v>1255</v>
      </c>
      <c r="R245" s="13" t="s">
        <v>33</v>
      </c>
      <c r="S245" s="13" t="s">
        <v>34</v>
      </c>
      <c r="T245" s="15">
        <v>0</v>
      </c>
      <c r="U245" s="13"/>
      <c r="V245" s="15">
        <v>0</v>
      </c>
      <c r="W245" s="13" t="s">
        <v>48</v>
      </c>
      <c r="X245" s="15" t="s">
        <v>65</v>
      </c>
      <c r="Y245" s="13" t="s">
        <v>37</v>
      </c>
    </row>
    <row x14ac:dyDescent="0.25" r="246" customHeight="1" ht="18.75">
      <c r="A246" s="5">
        <v>74021204</v>
      </c>
      <c r="B246" s="6">
        <v>869</v>
      </c>
      <c r="C246" s="7" t="s">
        <v>1256</v>
      </c>
      <c r="D246" s="7" t="s">
        <v>1257</v>
      </c>
      <c r="E246" s="8">
        <v>74021204</v>
      </c>
      <c r="F246" s="8">
        <v>869</v>
      </c>
      <c r="G246" s="7" t="s">
        <v>27</v>
      </c>
      <c r="H246" s="7" t="s">
        <v>1258</v>
      </c>
      <c r="I246" s="7" t="s">
        <v>1259</v>
      </c>
      <c r="J246" s="8">
        <f>79636307339</f>
      </c>
      <c r="K246" s="9"/>
      <c r="L246" s="7" t="s">
        <v>30</v>
      </c>
      <c r="M246" s="8">
        <v>56</v>
      </c>
      <c r="N246" s="7" t="s">
        <v>31</v>
      </c>
      <c r="O246" s="7" t="s">
        <v>232</v>
      </c>
      <c r="P246" s="7" t="s">
        <v>1260</v>
      </c>
      <c r="Q246" s="8" t="s">
        <v>1257</v>
      </c>
      <c r="R246" s="7" t="s">
        <v>33</v>
      </c>
      <c r="S246" s="7" t="s">
        <v>34</v>
      </c>
      <c r="T246" s="10">
        <v>0</v>
      </c>
      <c r="U246" s="7"/>
      <c r="V246" s="10">
        <v>0</v>
      </c>
      <c r="W246" s="7" t="s">
        <v>48</v>
      </c>
      <c r="X246" s="10" t="s">
        <v>65</v>
      </c>
      <c r="Y246" s="7" t="s">
        <v>59</v>
      </c>
    </row>
    <row x14ac:dyDescent="0.25" r="247" customHeight="1" ht="18.75">
      <c r="A247" s="11">
        <v>74021205</v>
      </c>
      <c r="B247" s="12">
        <v>876</v>
      </c>
      <c r="C247" s="13" t="s">
        <v>1261</v>
      </c>
      <c r="D247" s="13" t="s">
        <v>1262</v>
      </c>
      <c r="E247" s="14">
        <v>74021205</v>
      </c>
      <c r="F247" s="14">
        <v>876</v>
      </c>
      <c r="G247" s="13" t="s">
        <v>27</v>
      </c>
      <c r="H247" s="13" t="s">
        <v>1263</v>
      </c>
      <c r="I247" s="13" t="s">
        <v>1264</v>
      </c>
      <c r="J247" s="14">
        <f>79094327053</f>
      </c>
      <c r="K247" s="9"/>
      <c r="L247" s="13" t="s">
        <v>117</v>
      </c>
      <c r="M247" s="14">
        <v>210</v>
      </c>
      <c r="N247" s="13" t="s">
        <v>118</v>
      </c>
      <c r="O247" s="13" t="s">
        <v>119</v>
      </c>
      <c r="P247" s="13" t="s">
        <v>120</v>
      </c>
      <c r="Q247" s="14" t="s">
        <v>58</v>
      </c>
      <c r="R247" s="13" t="s">
        <v>33</v>
      </c>
      <c r="S247" s="13" t="s">
        <v>34</v>
      </c>
      <c r="T247" s="15">
        <v>0</v>
      </c>
      <c r="U247" s="13"/>
      <c r="V247" s="15">
        <v>0</v>
      </c>
      <c r="W247" s="13" t="s">
        <v>48</v>
      </c>
      <c r="X247" s="15" t="s">
        <v>36</v>
      </c>
      <c r="Y247" s="13" t="s">
        <v>59</v>
      </c>
    </row>
    <row x14ac:dyDescent="0.25" r="248" customHeight="1" ht="18.75">
      <c r="A248" s="5">
        <v>74021206</v>
      </c>
      <c r="B248" s="6">
        <v>877</v>
      </c>
      <c r="C248" s="7" t="s">
        <v>1265</v>
      </c>
      <c r="D248" s="7" t="s">
        <v>1266</v>
      </c>
      <c r="E248" s="8">
        <v>74021206</v>
      </c>
      <c r="F248" s="8">
        <v>877</v>
      </c>
      <c r="G248" s="7" t="s">
        <v>27</v>
      </c>
      <c r="H248" s="7" t="s">
        <v>1267</v>
      </c>
      <c r="I248" s="7" t="s">
        <v>1268</v>
      </c>
      <c r="J248" s="8">
        <f>79098554595</f>
      </c>
      <c r="K248" s="9"/>
      <c r="L248" s="7" t="s">
        <v>721</v>
      </c>
      <c r="M248" s="8">
        <v>116</v>
      </c>
      <c r="N248" s="7" t="s">
        <v>1269</v>
      </c>
      <c r="O248" s="7" t="s">
        <v>723</v>
      </c>
      <c r="P248" s="7" t="s">
        <v>1270</v>
      </c>
      <c r="Q248" s="8" t="s">
        <v>1271</v>
      </c>
      <c r="R248" s="7" t="s">
        <v>33</v>
      </c>
      <c r="S248" s="7" t="s">
        <v>34</v>
      </c>
      <c r="T248" s="10">
        <v>0</v>
      </c>
      <c r="U248" s="7"/>
      <c r="V248" s="10">
        <v>0</v>
      </c>
      <c r="W248" s="7" t="s">
        <v>48</v>
      </c>
      <c r="X248" s="10" t="s">
        <v>36</v>
      </c>
      <c r="Y248" s="7" t="s">
        <v>37</v>
      </c>
    </row>
    <row x14ac:dyDescent="0.25" r="249" customHeight="1" ht="18.75">
      <c r="A249" s="11">
        <v>74221207</v>
      </c>
      <c r="B249" s="12">
        <v>878</v>
      </c>
      <c r="C249" s="13" t="s">
        <v>1272</v>
      </c>
      <c r="D249" s="13" t="s">
        <v>1273</v>
      </c>
      <c r="E249" s="14">
        <v>74321207</v>
      </c>
      <c r="F249" s="14">
        <v>878</v>
      </c>
      <c r="G249" s="13" t="s">
        <v>27</v>
      </c>
      <c r="H249" s="13" t="s">
        <v>1274</v>
      </c>
      <c r="I249" s="13" t="s">
        <v>1275</v>
      </c>
      <c r="J249" s="14">
        <f>74952408424</f>
      </c>
      <c r="K249" s="14">
        <v>9474</v>
      </c>
      <c r="L249" s="13" t="s">
        <v>1276</v>
      </c>
      <c r="M249" s="14">
        <v>105</v>
      </c>
      <c r="N249" s="13" t="s">
        <v>1277</v>
      </c>
      <c r="O249" s="13" t="s">
        <v>82</v>
      </c>
      <c r="P249" s="13" t="s">
        <v>1278</v>
      </c>
      <c r="Q249" s="14" t="s">
        <v>1273</v>
      </c>
      <c r="R249" s="13" t="s">
        <v>33</v>
      </c>
      <c r="S249" s="13" t="s">
        <v>47</v>
      </c>
      <c r="T249" s="15">
        <v>1</v>
      </c>
      <c r="U249" s="13"/>
      <c r="V249" s="15">
        <v>0</v>
      </c>
      <c r="W249" s="13" t="s">
        <v>48</v>
      </c>
      <c r="X249" s="15" t="s">
        <v>65</v>
      </c>
      <c r="Y249" s="13" t="s">
        <v>126</v>
      </c>
    </row>
    <row x14ac:dyDescent="0.25" r="250" customHeight="1" ht="18.75">
      <c r="A250" s="5">
        <v>74021208</v>
      </c>
      <c r="B250" s="6">
        <v>879</v>
      </c>
      <c r="C250" s="7" t="s">
        <v>1279</v>
      </c>
      <c r="D250" s="7" t="s">
        <v>1280</v>
      </c>
      <c r="E250" s="8">
        <v>74021208</v>
      </c>
      <c r="F250" s="8">
        <v>879</v>
      </c>
      <c r="G250" s="7" t="s">
        <v>27</v>
      </c>
      <c r="H250" s="7" t="s">
        <v>1281</v>
      </c>
      <c r="I250" s="7" t="s">
        <v>1282</v>
      </c>
      <c r="J250" s="8">
        <f>79636304460</f>
      </c>
      <c r="K250" s="9"/>
      <c r="L250" s="7" t="s">
        <v>30</v>
      </c>
      <c r="M250" s="8">
        <v>56</v>
      </c>
      <c r="N250" s="7" t="s">
        <v>31</v>
      </c>
      <c r="O250" s="7" t="s">
        <v>32</v>
      </c>
      <c r="P250" s="7" t="s">
        <v>32</v>
      </c>
      <c r="Q250" s="8" t="s">
        <v>58</v>
      </c>
      <c r="R250" s="7" t="s">
        <v>33</v>
      </c>
      <c r="S250" s="7" t="s">
        <v>47</v>
      </c>
      <c r="T250" s="10">
        <v>3</v>
      </c>
      <c r="U250" s="7"/>
      <c r="V250" s="10">
        <v>0</v>
      </c>
      <c r="W250" s="7" t="s">
        <v>48</v>
      </c>
      <c r="X250" s="10" t="s">
        <v>36</v>
      </c>
      <c r="Y250" s="7" t="s">
        <v>37</v>
      </c>
    </row>
    <row x14ac:dyDescent="0.25" r="251" customHeight="1" ht="18.75">
      <c r="A251" s="11">
        <v>74021209</v>
      </c>
      <c r="B251" s="12">
        <v>880</v>
      </c>
      <c r="C251" s="13" t="s">
        <v>1283</v>
      </c>
      <c r="D251" s="13" t="s">
        <v>1284</v>
      </c>
      <c r="E251" s="14">
        <v>74021209</v>
      </c>
      <c r="F251" s="14">
        <v>880</v>
      </c>
      <c r="G251" s="13" t="s">
        <v>27</v>
      </c>
      <c r="H251" s="13" t="s">
        <v>1285</v>
      </c>
      <c r="I251" s="13" t="s">
        <v>1286</v>
      </c>
      <c r="J251" s="14">
        <f>79269916016</f>
      </c>
      <c r="K251" s="9"/>
      <c r="L251" s="13" t="s">
        <v>544</v>
      </c>
      <c r="M251" s="14">
        <v>74</v>
      </c>
      <c r="N251" s="13" t="s">
        <v>545</v>
      </c>
      <c r="O251" s="13" t="s">
        <v>232</v>
      </c>
      <c r="P251" s="13" t="s">
        <v>1287</v>
      </c>
      <c r="Q251" s="14" t="s">
        <v>58</v>
      </c>
      <c r="R251" s="13" t="s">
        <v>33</v>
      </c>
      <c r="S251" s="13" t="s">
        <v>34</v>
      </c>
      <c r="T251" s="15">
        <v>0</v>
      </c>
      <c r="U251" s="13"/>
      <c r="V251" s="15">
        <v>0</v>
      </c>
      <c r="W251" s="13" t="s">
        <v>48</v>
      </c>
      <c r="X251" s="15" t="s">
        <v>36</v>
      </c>
      <c r="Y251" s="13" t="s">
        <v>59</v>
      </c>
    </row>
    <row x14ac:dyDescent="0.25" r="252" customHeight="1" ht="18.75">
      <c r="A252" s="5">
        <v>74021211</v>
      </c>
      <c r="B252" s="6">
        <v>881</v>
      </c>
      <c r="C252" s="7" t="s">
        <v>1288</v>
      </c>
      <c r="D252" s="7" t="s">
        <v>1289</v>
      </c>
      <c r="E252" s="8">
        <v>74021211</v>
      </c>
      <c r="F252" s="8">
        <v>881</v>
      </c>
      <c r="G252" s="7" t="s">
        <v>27</v>
      </c>
      <c r="H252" s="7" t="s">
        <v>1290</v>
      </c>
      <c r="I252" s="7" t="s">
        <v>1291</v>
      </c>
      <c r="J252" s="8">
        <f>79034807056</f>
      </c>
      <c r="K252" s="9"/>
      <c r="L252" s="7" t="s">
        <v>117</v>
      </c>
      <c r="M252" s="8">
        <v>210</v>
      </c>
      <c r="N252" s="7" t="s">
        <v>118</v>
      </c>
      <c r="O252" s="7" t="s">
        <v>119</v>
      </c>
      <c r="P252" s="7" t="s">
        <v>806</v>
      </c>
      <c r="Q252" s="8" t="s">
        <v>58</v>
      </c>
      <c r="R252" s="7" t="s">
        <v>33</v>
      </c>
      <c r="S252" s="7" t="s">
        <v>34</v>
      </c>
      <c r="T252" s="10">
        <v>0</v>
      </c>
      <c r="U252" s="7"/>
      <c r="V252" s="10">
        <v>0</v>
      </c>
      <c r="W252" s="7" t="s">
        <v>48</v>
      </c>
      <c r="X252" s="10" t="s">
        <v>36</v>
      </c>
      <c r="Y252" s="7" t="s">
        <v>126</v>
      </c>
    </row>
    <row x14ac:dyDescent="0.25" r="253" customHeight="1" ht="18.75">
      <c r="A253" s="11">
        <v>74021214</v>
      </c>
      <c r="B253" s="12">
        <v>884</v>
      </c>
      <c r="C253" s="13" t="s">
        <v>1292</v>
      </c>
      <c r="D253" s="13" t="s">
        <v>1293</v>
      </c>
      <c r="E253" s="14">
        <v>74021214</v>
      </c>
      <c r="F253" s="14">
        <v>884</v>
      </c>
      <c r="G253" s="13" t="s">
        <v>27</v>
      </c>
      <c r="H253" s="13" t="s">
        <v>1294</v>
      </c>
      <c r="I253" s="13" t="s">
        <v>1295</v>
      </c>
      <c r="J253" s="14">
        <f>73472262444</f>
      </c>
      <c r="K253" s="14">
        <v>1026</v>
      </c>
      <c r="L253" s="13" t="s">
        <v>94</v>
      </c>
      <c r="M253" s="14">
        <v>118</v>
      </c>
      <c r="N253" s="13" t="s">
        <v>1296</v>
      </c>
      <c r="O253" s="13" t="s">
        <v>96</v>
      </c>
      <c r="P253" s="13" t="s">
        <v>97</v>
      </c>
      <c r="Q253" s="14" t="s">
        <v>1297</v>
      </c>
      <c r="R253" s="13" t="s">
        <v>33</v>
      </c>
      <c r="S253" s="13" t="s">
        <v>34</v>
      </c>
      <c r="T253" s="15">
        <v>0</v>
      </c>
      <c r="U253" s="13"/>
      <c r="V253" s="15">
        <v>0</v>
      </c>
      <c r="W253" s="13" t="s">
        <v>48</v>
      </c>
      <c r="X253" s="15" t="s">
        <v>36</v>
      </c>
      <c r="Y253" s="13" t="s">
        <v>59</v>
      </c>
    </row>
    <row x14ac:dyDescent="0.25" r="254" customHeight="1" ht="18.75">
      <c r="A254" s="5">
        <v>74021215</v>
      </c>
      <c r="B254" s="6">
        <v>885</v>
      </c>
      <c r="C254" s="7" t="s">
        <v>1298</v>
      </c>
      <c r="D254" s="7" t="s">
        <v>1299</v>
      </c>
      <c r="E254" s="8">
        <v>74021215</v>
      </c>
      <c r="F254" s="8">
        <v>885</v>
      </c>
      <c r="G254" s="7" t="s">
        <v>27</v>
      </c>
      <c r="H254" s="7" t="s">
        <v>1300</v>
      </c>
      <c r="I254" s="7" t="s">
        <v>1301</v>
      </c>
      <c r="J254" s="8">
        <f>73472017900</f>
      </c>
      <c r="K254" s="8">
        <v>1023</v>
      </c>
      <c r="L254" s="7" t="s">
        <v>94</v>
      </c>
      <c r="M254" s="8">
        <v>120</v>
      </c>
      <c r="N254" s="7" t="s">
        <v>1302</v>
      </c>
      <c r="O254" s="7" t="s">
        <v>96</v>
      </c>
      <c r="P254" s="7" t="s">
        <v>1303</v>
      </c>
      <c r="Q254" s="8" t="s">
        <v>1304</v>
      </c>
      <c r="R254" s="7" t="s">
        <v>33</v>
      </c>
      <c r="S254" s="7" t="s">
        <v>34</v>
      </c>
      <c r="T254" s="10">
        <v>0</v>
      </c>
      <c r="U254" s="7"/>
      <c r="V254" s="10">
        <v>0</v>
      </c>
      <c r="W254" s="7" t="s">
        <v>48</v>
      </c>
      <c r="X254" s="10" t="s">
        <v>36</v>
      </c>
      <c r="Y254" s="7" t="s">
        <v>37</v>
      </c>
    </row>
    <row x14ac:dyDescent="0.25" r="255" customHeight="1" ht="18.75">
      <c r="A255" s="11">
        <v>74021216</v>
      </c>
      <c r="B255" s="12">
        <v>886</v>
      </c>
      <c r="C255" s="13" t="s">
        <v>1305</v>
      </c>
      <c r="D255" s="13" t="s">
        <v>1306</v>
      </c>
      <c r="E255" s="14">
        <v>74021216</v>
      </c>
      <c r="F255" s="14">
        <v>886</v>
      </c>
      <c r="G255" s="13" t="s">
        <v>27</v>
      </c>
      <c r="H255" s="13" t="s">
        <v>1307</v>
      </c>
      <c r="I255" s="13" t="s">
        <v>1308</v>
      </c>
      <c r="J255" s="14">
        <f>73472262444</f>
      </c>
      <c r="K255" s="14">
        <v>1024</v>
      </c>
      <c r="L255" s="13" t="s">
        <v>94</v>
      </c>
      <c r="M255" s="14">
        <v>119</v>
      </c>
      <c r="N255" s="13" t="s">
        <v>1309</v>
      </c>
      <c r="O255" s="13" t="s">
        <v>96</v>
      </c>
      <c r="P255" s="13" t="s">
        <v>97</v>
      </c>
      <c r="Q255" s="14" t="s">
        <v>1310</v>
      </c>
      <c r="R255" s="13" t="s">
        <v>33</v>
      </c>
      <c r="S255" s="13" t="s">
        <v>34</v>
      </c>
      <c r="T255" s="15">
        <v>0</v>
      </c>
      <c r="U255" s="13"/>
      <c r="V255" s="15">
        <v>0</v>
      </c>
      <c r="W255" s="13" t="s">
        <v>48</v>
      </c>
      <c r="X255" s="15" t="s">
        <v>36</v>
      </c>
      <c r="Y255" s="13" t="s">
        <v>37</v>
      </c>
    </row>
    <row x14ac:dyDescent="0.25" r="256" customHeight="1" ht="18.75">
      <c r="A256" s="5">
        <v>74021218</v>
      </c>
      <c r="B256" s="6">
        <v>888</v>
      </c>
      <c r="C256" s="7" t="s">
        <v>1311</v>
      </c>
      <c r="D256" s="7" t="s">
        <v>1312</v>
      </c>
      <c r="E256" s="8">
        <v>74021218</v>
      </c>
      <c r="F256" s="8">
        <v>888</v>
      </c>
      <c r="G256" s="7" t="s">
        <v>27</v>
      </c>
      <c r="H256" s="7" t="s">
        <v>1313</v>
      </c>
      <c r="I256" s="7" t="s">
        <v>1314</v>
      </c>
      <c r="J256" s="8">
        <f>79636305627</f>
      </c>
      <c r="K256" s="9"/>
      <c r="L256" s="7" t="s">
        <v>30</v>
      </c>
      <c r="M256" s="8">
        <v>56</v>
      </c>
      <c r="N256" s="7" t="s">
        <v>31</v>
      </c>
      <c r="O256" s="7" t="s">
        <v>232</v>
      </c>
      <c r="P256" s="7" t="s">
        <v>526</v>
      </c>
      <c r="Q256" s="8" t="s">
        <v>1312</v>
      </c>
      <c r="R256" s="7" t="s">
        <v>33</v>
      </c>
      <c r="S256" s="7" t="s">
        <v>34</v>
      </c>
      <c r="T256" s="10">
        <v>0</v>
      </c>
      <c r="U256" s="7"/>
      <c r="V256" s="10">
        <v>0</v>
      </c>
      <c r="W256" s="7" t="s">
        <v>48</v>
      </c>
      <c r="X256" s="10" t="s">
        <v>65</v>
      </c>
      <c r="Y256" s="7" t="s">
        <v>37</v>
      </c>
    </row>
    <row x14ac:dyDescent="0.25" r="257" customHeight="1" ht="18.75">
      <c r="A257" s="11">
        <v>74220840</v>
      </c>
      <c r="B257" s="12">
        <v>893</v>
      </c>
      <c r="C257" s="13" t="s">
        <v>1315</v>
      </c>
      <c r="D257" s="13" t="s">
        <v>1316</v>
      </c>
      <c r="E257" s="14">
        <v>74320840</v>
      </c>
      <c r="F257" s="14">
        <v>893</v>
      </c>
      <c r="G257" s="13" t="s">
        <v>27</v>
      </c>
      <c r="H257" s="13" t="s">
        <v>1317</v>
      </c>
      <c r="I257" s="13" t="s">
        <v>1318</v>
      </c>
      <c r="J257" s="14">
        <f>74952408424</f>
      </c>
      <c r="K257" s="14">
        <v>6666</v>
      </c>
      <c r="L257" s="13" t="s">
        <v>1276</v>
      </c>
      <c r="M257" s="14">
        <v>105</v>
      </c>
      <c r="N257" s="13" t="s">
        <v>1277</v>
      </c>
      <c r="O257" s="13" t="s">
        <v>82</v>
      </c>
      <c r="P257" s="13" t="s">
        <v>1319</v>
      </c>
      <c r="Q257" s="14" t="s">
        <v>58</v>
      </c>
      <c r="R257" s="13" t="s">
        <v>33</v>
      </c>
      <c r="S257" s="13" t="s">
        <v>47</v>
      </c>
      <c r="T257" s="15">
        <v>2</v>
      </c>
      <c r="U257" s="13"/>
      <c r="V257" s="15">
        <v>0</v>
      </c>
      <c r="W257" s="13" t="s">
        <v>48</v>
      </c>
      <c r="X257" s="15" t="s">
        <v>65</v>
      </c>
      <c r="Y257" s="13" t="s">
        <v>126</v>
      </c>
    </row>
    <row x14ac:dyDescent="0.25" r="258" customHeight="1" ht="18.75">
      <c r="A258" s="5">
        <v>74221156</v>
      </c>
      <c r="B258" s="6">
        <v>909</v>
      </c>
      <c r="C258" s="7" t="s">
        <v>1320</v>
      </c>
      <c r="D258" s="7" t="s">
        <v>1321</v>
      </c>
      <c r="E258" s="8">
        <v>74321156</v>
      </c>
      <c r="F258" s="8">
        <v>909</v>
      </c>
      <c r="G258" s="7" t="s">
        <v>27</v>
      </c>
      <c r="H258" s="7" t="s">
        <v>1322</v>
      </c>
      <c r="I258" s="7" t="s">
        <v>1323</v>
      </c>
      <c r="J258" s="8">
        <f>74952408424</f>
      </c>
      <c r="K258" s="8">
        <v>6463</v>
      </c>
      <c r="L258" s="7" t="s">
        <v>1276</v>
      </c>
      <c r="M258" s="8">
        <v>105</v>
      </c>
      <c r="N258" s="7" t="s">
        <v>1277</v>
      </c>
      <c r="O258" s="7" t="s">
        <v>82</v>
      </c>
      <c r="P258" s="7" t="s">
        <v>1324</v>
      </c>
      <c r="Q258" s="8" t="s">
        <v>58</v>
      </c>
      <c r="R258" s="7" t="s">
        <v>33</v>
      </c>
      <c r="S258" s="7" t="s">
        <v>47</v>
      </c>
      <c r="T258" s="10">
        <v>1</v>
      </c>
      <c r="U258" s="7"/>
      <c r="V258" s="10">
        <v>0</v>
      </c>
      <c r="W258" s="7" t="s">
        <v>48</v>
      </c>
      <c r="X258" s="10" t="s">
        <v>65</v>
      </c>
      <c r="Y258" s="7" t="s">
        <v>126</v>
      </c>
    </row>
    <row x14ac:dyDescent="0.25" r="259" customHeight="1" ht="18.75">
      <c r="A259" s="11">
        <v>74221164</v>
      </c>
      <c r="B259" s="12">
        <v>910</v>
      </c>
      <c r="C259" s="13" t="s">
        <v>1325</v>
      </c>
      <c r="D259" s="13" t="s">
        <v>1326</v>
      </c>
      <c r="E259" s="14">
        <v>74321164</v>
      </c>
      <c r="F259" s="14">
        <v>910</v>
      </c>
      <c r="G259" s="13" t="s">
        <v>27</v>
      </c>
      <c r="H259" s="13" t="s">
        <v>1327</v>
      </c>
      <c r="I259" s="13" t="s">
        <v>1328</v>
      </c>
      <c r="J259" s="14">
        <f>74952408424</f>
      </c>
      <c r="K259" s="14">
        <v>6938</v>
      </c>
      <c r="L259" s="13" t="s">
        <v>1276</v>
      </c>
      <c r="M259" s="14">
        <v>105</v>
      </c>
      <c r="N259" s="13" t="s">
        <v>1277</v>
      </c>
      <c r="O259" s="13" t="s">
        <v>82</v>
      </c>
      <c r="P259" s="13" t="s">
        <v>1329</v>
      </c>
      <c r="Q259" s="14" t="s">
        <v>58</v>
      </c>
      <c r="R259" s="13" t="s">
        <v>33</v>
      </c>
      <c r="S259" s="13" t="s">
        <v>47</v>
      </c>
      <c r="T259" s="15">
        <v>1</v>
      </c>
      <c r="U259" s="13"/>
      <c r="V259" s="15">
        <v>0</v>
      </c>
      <c r="W259" s="13" t="s">
        <v>48</v>
      </c>
      <c r="X259" s="15" t="s">
        <v>65</v>
      </c>
      <c r="Y259" s="13" t="s">
        <v>59</v>
      </c>
    </row>
    <row x14ac:dyDescent="0.25" r="260" customHeight="1" ht="18.75">
      <c r="A260" s="5">
        <v>74021219</v>
      </c>
      <c r="B260" s="6">
        <v>916</v>
      </c>
      <c r="C260" s="7" t="s">
        <v>1330</v>
      </c>
      <c r="D260" s="7" t="s">
        <v>1331</v>
      </c>
      <c r="E260" s="8">
        <v>74021219</v>
      </c>
      <c r="F260" s="8">
        <v>916</v>
      </c>
      <c r="G260" s="7" t="s">
        <v>27</v>
      </c>
      <c r="H260" s="7" t="s">
        <v>1332</v>
      </c>
      <c r="I260" s="7" t="s">
        <v>1333</v>
      </c>
      <c r="J260" s="8">
        <f>74950211183</f>
      </c>
      <c r="K260" s="9"/>
      <c r="L260" s="7" t="s">
        <v>1334</v>
      </c>
      <c r="M260" s="8">
        <v>123</v>
      </c>
      <c r="N260" s="7" t="s">
        <v>1335</v>
      </c>
      <c r="O260" s="7" t="s">
        <v>32</v>
      </c>
      <c r="P260" s="7" t="s">
        <v>32</v>
      </c>
      <c r="Q260" s="8" t="s">
        <v>58</v>
      </c>
      <c r="R260" s="7" t="s">
        <v>33</v>
      </c>
      <c r="S260" s="7" t="s">
        <v>34</v>
      </c>
      <c r="T260" s="10">
        <v>0</v>
      </c>
      <c r="U260" s="7"/>
      <c r="V260" s="10">
        <v>0</v>
      </c>
      <c r="W260" s="7" t="s">
        <v>48</v>
      </c>
      <c r="X260" s="10" t="s">
        <v>36</v>
      </c>
      <c r="Y260" s="7" t="s">
        <v>37</v>
      </c>
    </row>
    <row x14ac:dyDescent="0.25" r="261" customHeight="1" ht="18.75">
      <c r="A261" s="11">
        <v>74021221</v>
      </c>
      <c r="B261" s="12">
        <v>917</v>
      </c>
      <c r="C261" s="13" t="s">
        <v>1336</v>
      </c>
      <c r="D261" s="13" t="s">
        <v>1337</v>
      </c>
      <c r="E261" s="14">
        <v>74021221</v>
      </c>
      <c r="F261" s="14">
        <v>917</v>
      </c>
      <c r="G261" s="13" t="s">
        <v>27</v>
      </c>
      <c r="H261" s="13" t="s">
        <v>1338</v>
      </c>
      <c r="I261" s="13" t="s">
        <v>1339</v>
      </c>
      <c r="J261" s="14">
        <f>74950211210</f>
      </c>
      <c r="K261" s="9"/>
      <c r="L261" s="13" t="s">
        <v>1334</v>
      </c>
      <c r="M261" s="14">
        <v>123</v>
      </c>
      <c r="N261" s="13" t="s">
        <v>1335</v>
      </c>
      <c r="O261" s="13" t="s">
        <v>32</v>
      </c>
      <c r="P261" s="13" t="s">
        <v>32</v>
      </c>
      <c r="Q261" s="14" t="s">
        <v>58</v>
      </c>
      <c r="R261" s="13" t="s">
        <v>33</v>
      </c>
      <c r="S261" s="13" t="s">
        <v>34</v>
      </c>
      <c r="T261" s="15">
        <v>0</v>
      </c>
      <c r="U261" s="13"/>
      <c r="V261" s="15">
        <v>0</v>
      </c>
      <c r="W261" s="13" t="s">
        <v>48</v>
      </c>
      <c r="X261" s="15" t="s">
        <v>36</v>
      </c>
      <c r="Y261" s="13" t="s">
        <v>37</v>
      </c>
    </row>
    <row x14ac:dyDescent="0.25" r="262" customHeight="1" ht="18.75">
      <c r="A262" s="5">
        <v>74021223</v>
      </c>
      <c r="B262" s="6">
        <v>919</v>
      </c>
      <c r="C262" s="7" t="s">
        <v>1340</v>
      </c>
      <c r="D262" s="7" t="s">
        <v>1341</v>
      </c>
      <c r="E262" s="8">
        <v>74021223</v>
      </c>
      <c r="F262" s="8">
        <v>919</v>
      </c>
      <c r="G262" s="7" t="s">
        <v>27</v>
      </c>
      <c r="H262" s="7" t="s">
        <v>1342</v>
      </c>
      <c r="I262" s="7" t="s">
        <v>1343</v>
      </c>
      <c r="J262" s="8">
        <f>73496451225</f>
      </c>
      <c r="K262" s="9"/>
      <c r="L262" s="7" t="s">
        <v>508</v>
      </c>
      <c r="M262" s="8">
        <v>100312</v>
      </c>
      <c r="N262" s="7" t="s">
        <v>509</v>
      </c>
      <c r="O262" s="7" t="s">
        <v>510</v>
      </c>
      <c r="P262" s="7" t="s">
        <v>1344</v>
      </c>
      <c r="Q262" s="8" t="s">
        <v>1345</v>
      </c>
      <c r="R262" s="7" t="s">
        <v>33</v>
      </c>
      <c r="S262" s="7" t="s">
        <v>34</v>
      </c>
      <c r="T262" s="10">
        <v>0</v>
      </c>
      <c r="U262" s="7" t="s">
        <v>48</v>
      </c>
      <c r="V262" s="10" t="s">
        <v>200</v>
      </c>
      <c r="W262" s="7" t="s">
        <v>48</v>
      </c>
      <c r="X262" s="10" t="s">
        <v>36</v>
      </c>
      <c r="Y262" s="7" t="s">
        <v>84</v>
      </c>
    </row>
    <row x14ac:dyDescent="0.25" r="263" customHeight="1" ht="18.75">
      <c r="A263" s="11">
        <v>74221226</v>
      </c>
      <c r="B263" s="12">
        <v>921</v>
      </c>
      <c r="C263" s="13" t="s">
        <v>1346</v>
      </c>
      <c r="D263" s="13" t="s">
        <v>1347</v>
      </c>
      <c r="E263" s="14">
        <v>74321226</v>
      </c>
      <c r="F263" s="14">
        <v>921</v>
      </c>
      <c r="G263" s="13" t="s">
        <v>27</v>
      </c>
      <c r="H263" s="13" t="s">
        <v>1348</v>
      </c>
      <c r="I263" s="13" t="s">
        <v>1349</v>
      </c>
      <c r="J263" s="14">
        <f>74952408424</f>
      </c>
      <c r="K263" s="14">
        <v>6437</v>
      </c>
      <c r="L263" s="13" t="s">
        <v>1276</v>
      </c>
      <c r="M263" s="14">
        <v>105</v>
      </c>
      <c r="N263" s="13" t="s">
        <v>1277</v>
      </c>
      <c r="O263" s="13" t="s">
        <v>82</v>
      </c>
      <c r="P263" s="13" t="s">
        <v>1350</v>
      </c>
      <c r="Q263" s="14" t="s">
        <v>58</v>
      </c>
      <c r="R263" s="13" t="s">
        <v>33</v>
      </c>
      <c r="S263" s="13" t="s">
        <v>47</v>
      </c>
      <c r="T263" s="15">
        <v>1</v>
      </c>
      <c r="U263" s="13"/>
      <c r="V263" s="15">
        <v>0</v>
      </c>
      <c r="W263" s="13" t="s">
        <v>48</v>
      </c>
      <c r="X263" s="15" t="s">
        <v>65</v>
      </c>
      <c r="Y263" s="13" t="s">
        <v>126</v>
      </c>
    </row>
    <row x14ac:dyDescent="0.25" r="264" customHeight="1" ht="18.75">
      <c r="A264" s="5">
        <v>74021234</v>
      </c>
      <c r="B264" s="6">
        <v>925</v>
      </c>
      <c r="C264" s="7" t="s">
        <v>1351</v>
      </c>
      <c r="D264" s="7" t="s">
        <v>1352</v>
      </c>
      <c r="E264" s="8">
        <v>74021234</v>
      </c>
      <c r="F264" s="8">
        <v>925</v>
      </c>
      <c r="G264" s="7" t="s">
        <v>27</v>
      </c>
      <c r="H264" s="7" t="s">
        <v>1353</v>
      </c>
      <c r="I264" s="7" t="s">
        <v>1354</v>
      </c>
      <c r="J264" s="8">
        <f>79268206183</f>
      </c>
      <c r="K264" s="9"/>
      <c r="L264" s="7" t="s">
        <v>544</v>
      </c>
      <c r="M264" s="8">
        <v>74</v>
      </c>
      <c r="N264" s="7" t="s">
        <v>545</v>
      </c>
      <c r="O264" s="7" t="s">
        <v>232</v>
      </c>
      <c r="P264" s="7" t="s">
        <v>1355</v>
      </c>
      <c r="Q264" s="8" t="s">
        <v>58</v>
      </c>
      <c r="R264" s="7" t="s">
        <v>33</v>
      </c>
      <c r="S264" s="7" t="s">
        <v>34</v>
      </c>
      <c r="T264" s="10">
        <v>0</v>
      </c>
      <c r="U264" s="7"/>
      <c r="V264" s="10">
        <v>0</v>
      </c>
      <c r="W264" s="7" t="s">
        <v>48</v>
      </c>
      <c r="X264" s="10" t="s">
        <v>36</v>
      </c>
      <c r="Y264" s="7" t="s">
        <v>37</v>
      </c>
    </row>
    <row x14ac:dyDescent="0.25" r="265" customHeight="1" ht="18.75">
      <c r="A265" s="11">
        <v>74021235</v>
      </c>
      <c r="B265" s="12">
        <v>926</v>
      </c>
      <c r="C265" s="13" t="s">
        <v>1356</v>
      </c>
      <c r="D265" s="13" t="s">
        <v>1357</v>
      </c>
      <c r="E265" s="14">
        <v>74021235</v>
      </c>
      <c r="F265" s="14">
        <v>926</v>
      </c>
      <c r="G265" s="13" t="s">
        <v>27</v>
      </c>
      <c r="H265" s="13" t="s">
        <v>1358</v>
      </c>
      <c r="I265" s="13" t="s">
        <v>1359</v>
      </c>
      <c r="J265" s="14">
        <f>79268220691</f>
      </c>
      <c r="K265" s="9"/>
      <c r="L265" s="13" t="s">
        <v>544</v>
      </c>
      <c r="M265" s="14">
        <v>74</v>
      </c>
      <c r="N265" s="13" t="s">
        <v>545</v>
      </c>
      <c r="O265" s="13" t="s">
        <v>232</v>
      </c>
      <c r="P265" s="13" t="s">
        <v>1360</v>
      </c>
      <c r="Q265" s="14" t="s">
        <v>1361</v>
      </c>
      <c r="R265" s="13" t="s">
        <v>33</v>
      </c>
      <c r="S265" s="13" t="s">
        <v>34</v>
      </c>
      <c r="T265" s="15">
        <v>0</v>
      </c>
      <c r="U265" s="13"/>
      <c r="V265" s="15">
        <v>0</v>
      </c>
      <c r="W265" s="13" t="s">
        <v>48</v>
      </c>
      <c r="X265" s="15" t="s">
        <v>36</v>
      </c>
      <c r="Y265" s="13" t="s">
        <v>37</v>
      </c>
    </row>
    <row x14ac:dyDescent="0.25" r="266" customHeight="1" ht="18.75">
      <c r="A266" s="5">
        <v>74021236</v>
      </c>
      <c r="B266" s="6">
        <v>927</v>
      </c>
      <c r="C266" s="7" t="s">
        <v>1362</v>
      </c>
      <c r="D266" s="7" t="s">
        <v>1363</v>
      </c>
      <c r="E266" s="8">
        <v>74021236</v>
      </c>
      <c r="F266" s="8">
        <v>927</v>
      </c>
      <c r="G266" s="7" t="s">
        <v>27</v>
      </c>
      <c r="H266" s="7" t="s">
        <v>1364</v>
      </c>
      <c r="I266" s="7" t="s">
        <v>1365</v>
      </c>
      <c r="J266" s="8">
        <f>79268207027</f>
      </c>
      <c r="K266" s="9"/>
      <c r="L266" s="7" t="s">
        <v>544</v>
      </c>
      <c r="M266" s="8">
        <v>74</v>
      </c>
      <c r="N266" s="7" t="s">
        <v>545</v>
      </c>
      <c r="O266" s="7" t="s">
        <v>82</v>
      </c>
      <c r="P266" s="7" t="s">
        <v>1366</v>
      </c>
      <c r="Q266" s="8" t="s">
        <v>905</v>
      </c>
      <c r="R266" s="7" t="s">
        <v>33</v>
      </c>
      <c r="S266" s="7" t="s">
        <v>34</v>
      </c>
      <c r="T266" s="10">
        <v>0</v>
      </c>
      <c r="U266" s="7"/>
      <c r="V266" s="10">
        <v>0</v>
      </c>
      <c r="W266" s="7" t="s">
        <v>48</v>
      </c>
      <c r="X266" s="10" t="s">
        <v>36</v>
      </c>
      <c r="Y266" s="7" t="s">
        <v>37</v>
      </c>
    </row>
    <row x14ac:dyDescent="0.25" r="267" customHeight="1" ht="18.75">
      <c r="A267" s="11">
        <v>74021237</v>
      </c>
      <c r="B267" s="12">
        <v>928</v>
      </c>
      <c r="C267" s="13" t="s">
        <v>1367</v>
      </c>
      <c r="D267" s="13" t="s">
        <v>1368</v>
      </c>
      <c r="E267" s="14">
        <v>74021237</v>
      </c>
      <c r="F267" s="14">
        <v>928</v>
      </c>
      <c r="G267" s="13" t="s">
        <v>27</v>
      </c>
      <c r="H267" s="13" t="s">
        <v>1369</v>
      </c>
      <c r="I267" s="13" t="s">
        <v>1370</v>
      </c>
      <c r="J267" s="14">
        <f>79250800535</f>
      </c>
      <c r="K267" s="9"/>
      <c r="L267" s="13" t="s">
        <v>544</v>
      </c>
      <c r="M267" s="14">
        <v>74</v>
      </c>
      <c r="N267" s="13" t="s">
        <v>545</v>
      </c>
      <c r="O267" s="13" t="s">
        <v>232</v>
      </c>
      <c r="P267" s="13" t="s">
        <v>1371</v>
      </c>
      <c r="Q267" s="14" t="s">
        <v>1368</v>
      </c>
      <c r="R267" s="13" t="s">
        <v>33</v>
      </c>
      <c r="S267" s="13" t="s">
        <v>34</v>
      </c>
      <c r="T267" s="15">
        <v>0</v>
      </c>
      <c r="U267" s="13"/>
      <c r="V267" s="15">
        <v>0</v>
      </c>
      <c r="W267" s="13" t="s">
        <v>48</v>
      </c>
      <c r="X267" s="15" t="s">
        <v>36</v>
      </c>
      <c r="Y267" s="13" t="s">
        <v>59</v>
      </c>
    </row>
    <row x14ac:dyDescent="0.25" r="268" customHeight="1" ht="18.75">
      <c r="A268" s="5">
        <v>74021238</v>
      </c>
      <c r="B268" s="6">
        <v>929</v>
      </c>
      <c r="C268" s="7" t="s">
        <v>1372</v>
      </c>
      <c r="D268" s="7" t="s">
        <v>1373</v>
      </c>
      <c r="E268" s="8">
        <v>74021238</v>
      </c>
      <c r="F268" s="8">
        <v>929</v>
      </c>
      <c r="G268" s="7" t="s">
        <v>27</v>
      </c>
      <c r="H268" s="7" t="s">
        <v>1374</v>
      </c>
      <c r="I268" s="7" t="s">
        <v>1375</v>
      </c>
      <c r="J268" s="7" t="s">
        <v>467</v>
      </c>
      <c r="K268" s="9"/>
      <c r="L268" s="7" t="s">
        <v>721</v>
      </c>
      <c r="M268" s="8">
        <v>115</v>
      </c>
      <c r="N268" s="7" t="s">
        <v>1376</v>
      </c>
      <c r="O268" s="7" t="s">
        <v>723</v>
      </c>
      <c r="P268" s="7" t="s">
        <v>724</v>
      </c>
      <c r="Q268" s="8" t="s">
        <v>1377</v>
      </c>
      <c r="R268" s="7" t="s">
        <v>33</v>
      </c>
      <c r="S268" s="7" t="s">
        <v>34</v>
      </c>
      <c r="T268" s="10">
        <v>0</v>
      </c>
      <c r="U268" s="7"/>
      <c r="V268" s="10">
        <v>0</v>
      </c>
      <c r="W268" s="7" t="s">
        <v>48</v>
      </c>
      <c r="X268" s="10" t="s">
        <v>36</v>
      </c>
      <c r="Y268" s="7" t="s">
        <v>37</v>
      </c>
    </row>
    <row x14ac:dyDescent="0.25" r="269" customHeight="1" ht="18.75">
      <c r="A269" s="11">
        <v>74021239</v>
      </c>
      <c r="B269" s="12">
        <v>930</v>
      </c>
      <c r="C269" s="13" t="s">
        <v>1378</v>
      </c>
      <c r="D269" s="13" t="s">
        <v>1379</v>
      </c>
      <c r="E269" s="14">
        <v>74021239</v>
      </c>
      <c r="F269" s="14">
        <v>930</v>
      </c>
      <c r="G269" s="13" t="s">
        <v>27</v>
      </c>
      <c r="H269" s="13" t="s">
        <v>1380</v>
      </c>
      <c r="I269" s="13" t="s">
        <v>1381</v>
      </c>
      <c r="J269" s="14">
        <f>74236779505</f>
      </c>
      <c r="K269" s="9"/>
      <c r="L269" s="13" t="s">
        <v>721</v>
      </c>
      <c r="M269" s="14">
        <v>115</v>
      </c>
      <c r="N269" s="13" t="s">
        <v>1376</v>
      </c>
      <c r="O269" s="13" t="s">
        <v>723</v>
      </c>
      <c r="P269" s="13" t="s">
        <v>1382</v>
      </c>
      <c r="Q269" s="14" t="s">
        <v>1383</v>
      </c>
      <c r="R269" s="13" t="s">
        <v>33</v>
      </c>
      <c r="S269" s="13" t="s">
        <v>34</v>
      </c>
      <c r="T269" s="15">
        <v>0</v>
      </c>
      <c r="U269" s="13"/>
      <c r="V269" s="15">
        <v>0</v>
      </c>
      <c r="W269" s="13" t="s">
        <v>48</v>
      </c>
      <c r="X269" s="15" t="s">
        <v>36</v>
      </c>
      <c r="Y269" s="13" t="s">
        <v>84</v>
      </c>
    </row>
    <row x14ac:dyDescent="0.25" r="270" customHeight="1" ht="18.75">
      <c r="A270" s="5">
        <v>74021241</v>
      </c>
      <c r="B270" s="6">
        <v>931</v>
      </c>
      <c r="C270" s="7" t="s">
        <v>1384</v>
      </c>
      <c r="D270" s="7" t="s">
        <v>1385</v>
      </c>
      <c r="E270" s="8">
        <v>74021241</v>
      </c>
      <c r="F270" s="8">
        <v>931</v>
      </c>
      <c r="G270" s="7" t="s">
        <v>27</v>
      </c>
      <c r="H270" s="7" t="s">
        <v>1386</v>
      </c>
      <c r="I270" s="7" t="s">
        <v>1387</v>
      </c>
      <c r="J270" s="8">
        <f>74232302593</f>
      </c>
      <c r="K270" s="9"/>
      <c r="L270" s="7" t="s">
        <v>721</v>
      </c>
      <c r="M270" s="8">
        <v>115</v>
      </c>
      <c r="N270" s="7" t="s">
        <v>1376</v>
      </c>
      <c r="O270" s="7" t="s">
        <v>723</v>
      </c>
      <c r="P270" s="7" t="s">
        <v>724</v>
      </c>
      <c r="Q270" s="8" t="s">
        <v>1388</v>
      </c>
      <c r="R270" s="7" t="s">
        <v>33</v>
      </c>
      <c r="S270" s="7" t="s">
        <v>34</v>
      </c>
      <c r="T270" s="10">
        <v>0</v>
      </c>
      <c r="U270" s="7"/>
      <c r="V270" s="10">
        <v>0</v>
      </c>
      <c r="W270" s="7" t="s">
        <v>48</v>
      </c>
      <c r="X270" s="10" t="s">
        <v>36</v>
      </c>
      <c r="Y270" s="7" t="s">
        <v>37</v>
      </c>
    </row>
    <row x14ac:dyDescent="0.25" r="271" customHeight="1" ht="18.75">
      <c r="A271" s="11">
        <v>74021242</v>
      </c>
      <c r="B271" s="12">
        <v>932</v>
      </c>
      <c r="C271" s="13" t="s">
        <v>1389</v>
      </c>
      <c r="D271" s="13" t="s">
        <v>1390</v>
      </c>
      <c r="E271" s="14">
        <v>74021242</v>
      </c>
      <c r="F271" s="14">
        <v>932</v>
      </c>
      <c r="G271" s="13" t="s">
        <v>27</v>
      </c>
      <c r="H271" s="13" t="s">
        <v>1391</v>
      </c>
      <c r="I271" s="13" t="s">
        <v>1392</v>
      </c>
      <c r="J271" s="14">
        <f>79299356792</f>
      </c>
      <c r="K271" s="9"/>
      <c r="L271" s="13" t="s">
        <v>544</v>
      </c>
      <c r="M271" s="14">
        <v>74</v>
      </c>
      <c r="N271" s="13" t="s">
        <v>545</v>
      </c>
      <c r="O271" s="13" t="s">
        <v>32</v>
      </c>
      <c r="P271" s="13" t="s">
        <v>32</v>
      </c>
      <c r="Q271" s="14" t="s">
        <v>58</v>
      </c>
      <c r="R271" s="13" t="s">
        <v>33</v>
      </c>
      <c r="S271" s="13" t="s">
        <v>34</v>
      </c>
      <c r="T271" s="15">
        <v>0</v>
      </c>
      <c r="U271" s="13"/>
      <c r="V271" s="15">
        <v>0</v>
      </c>
      <c r="W271" s="13" t="s">
        <v>48</v>
      </c>
      <c r="X271" s="15" t="s">
        <v>65</v>
      </c>
      <c r="Y271" s="13" t="s">
        <v>37</v>
      </c>
    </row>
    <row x14ac:dyDescent="0.25" r="272" customHeight="1" ht="18.75">
      <c r="A272" s="5">
        <v>74021243</v>
      </c>
      <c r="B272" s="6">
        <v>933</v>
      </c>
      <c r="C272" s="7" t="s">
        <v>1393</v>
      </c>
      <c r="D272" s="7" t="s">
        <v>1394</v>
      </c>
      <c r="E272" s="8">
        <v>74021243</v>
      </c>
      <c r="F272" s="8">
        <v>933</v>
      </c>
      <c r="G272" s="7" t="s">
        <v>27</v>
      </c>
      <c r="H272" s="7" t="s">
        <v>1395</v>
      </c>
      <c r="I272" s="7" t="s">
        <v>1396</v>
      </c>
      <c r="J272" s="8">
        <f>73854666630</f>
      </c>
      <c r="K272" s="9"/>
      <c r="L272" s="7" t="s">
        <v>71</v>
      </c>
      <c r="M272" s="8">
        <v>125</v>
      </c>
      <c r="N272" s="7" t="s">
        <v>1397</v>
      </c>
      <c r="O272" s="7" t="s">
        <v>73</v>
      </c>
      <c r="P272" s="7" t="s">
        <v>1398</v>
      </c>
      <c r="Q272" s="8" t="s">
        <v>1399</v>
      </c>
      <c r="R272" s="7" t="s">
        <v>33</v>
      </c>
      <c r="S272" s="7" t="s">
        <v>34</v>
      </c>
      <c r="T272" s="10">
        <v>0</v>
      </c>
      <c r="U272" s="7"/>
      <c r="V272" s="10">
        <v>0</v>
      </c>
      <c r="W272" s="7" t="s">
        <v>48</v>
      </c>
      <c r="X272" s="10" t="s">
        <v>36</v>
      </c>
      <c r="Y272" s="7" t="s">
        <v>37</v>
      </c>
    </row>
    <row x14ac:dyDescent="0.25" r="273" customHeight="1" ht="18.75">
      <c r="A273" s="11">
        <v>74021244</v>
      </c>
      <c r="B273" s="12">
        <v>934</v>
      </c>
      <c r="C273" s="13" t="s">
        <v>1400</v>
      </c>
      <c r="D273" s="13" t="s">
        <v>1401</v>
      </c>
      <c r="E273" s="14">
        <v>74021244</v>
      </c>
      <c r="F273" s="14">
        <v>934</v>
      </c>
      <c r="G273" s="13" t="s">
        <v>27</v>
      </c>
      <c r="H273" s="13" t="s">
        <v>1402</v>
      </c>
      <c r="I273" s="13" t="s">
        <v>1403</v>
      </c>
      <c r="J273" s="14">
        <f>73512208044</f>
      </c>
      <c r="K273" s="14">
        <v>1022</v>
      </c>
      <c r="L273" s="13" t="s">
        <v>94</v>
      </c>
      <c r="M273" s="14">
        <v>126</v>
      </c>
      <c r="N273" s="13" t="s">
        <v>1404</v>
      </c>
      <c r="O273" s="13" t="s">
        <v>96</v>
      </c>
      <c r="P273" s="13" t="s">
        <v>181</v>
      </c>
      <c r="Q273" s="14" t="s">
        <v>182</v>
      </c>
      <c r="R273" s="13" t="s">
        <v>33</v>
      </c>
      <c r="S273" s="13" t="s">
        <v>34</v>
      </c>
      <c r="T273" s="15">
        <v>0</v>
      </c>
      <c r="U273" s="13"/>
      <c r="V273" s="15">
        <v>0</v>
      </c>
      <c r="W273" s="13" t="s">
        <v>48</v>
      </c>
      <c r="X273" s="15" t="s">
        <v>65</v>
      </c>
      <c r="Y273" s="13" t="s">
        <v>37</v>
      </c>
    </row>
    <row x14ac:dyDescent="0.25" r="274" customHeight="1" ht="18.75">
      <c r="A274" s="5">
        <v>74021245</v>
      </c>
      <c r="B274" s="6">
        <v>935</v>
      </c>
      <c r="C274" s="7" t="s">
        <v>1405</v>
      </c>
      <c r="D274" s="7" t="s">
        <v>1406</v>
      </c>
      <c r="E274" s="8">
        <v>74021245</v>
      </c>
      <c r="F274" s="8">
        <v>935</v>
      </c>
      <c r="G274" s="7" t="s">
        <v>27</v>
      </c>
      <c r="H274" s="7" t="s">
        <v>1407</v>
      </c>
      <c r="I274" s="7" t="s">
        <v>1408</v>
      </c>
      <c r="J274" s="8">
        <f>74957254009</f>
      </c>
      <c r="K274" s="9"/>
      <c r="L274" s="7" t="s">
        <v>30</v>
      </c>
      <c r="M274" s="8">
        <v>56</v>
      </c>
      <c r="N274" s="7" t="s">
        <v>31</v>
      </c>
      <c r="O274" s="7" t="s">
        <v>32</v>
      </c>
      <c r="P274" s="7" t="s">
        <v>32</v>
      </c>
      <c r="Q274" s="8" t="s">
        <v>488</v>
      </c>
      <c r="R274" s="7" t="s">
        <v>33</v>
      </c>
      <c r="S274" s="7" t="s">
        <v>34</v>
      </c>
      <c r="T274" s="10">
        <v>0</v>
      </c>
      <c r="U274" s="7"/>
      <c r="V274" s="10">
        <v>0</v>
      </c>
      <c r="W274" s="7" t="s">
        <v>48</v>
      </c>
      <c r="X274" s="10" t="s">
        <v>36</v>
      </c>
      <c r="Y274" s="7" t="s">
        <v>37</v>
      </c>
    </row>
    <row x14ac:dyDescent="0.25" r="275" customHeight="1" ht="18.75">
      <c r="A275" s="11">
        <v>74021246</v>
      </c>
      <c r="B275" s="12">
        <v>936</v>
      </c>
      <c r="C275" s="13" t="s">
        <v>1409</v>
      </c>
      <c r="D275" s="13" t="s">
        <v>1410</v>
      </c>
      <c r="E275" s="14">
        <v>74021246</v>
      </c>
      <c r="F275" s="14">
        <v>936</v>
      </c>
      <c r="G275" s="13" t="s">
        <v>27</v>
      </c>
      <c r="H275" s="13" t="s">
        <v>1411</v>
      </c>
      <c r="I275" s="13" t="s">
        <v>1412</v>
      </c>
      <c r="J275" s="14">
        <f>79105900133</f>
      </c>
      <c r="K275" s="9"/>
      <c r="L275" s="13" t="s">
        <v>230</v>
      </c>
      <c r="M275" s="14">
        <v>100474</v>
      </c>
      <c r="N275" s="13" t="s">
        <v>666</v>
      </c>
      <c r="O275" s="13" t="s">
        <v>232</v>
      </c>
      <c r="P275" s="13" t="s">
        <v>667</v>
      </c>
      <c r="Q275" s="14" t="s">
        <v>1410</v>
      </c>
      <c r="R275" s="13" t="s">
        <v>33</v>
      </c>
      <c r="S275" s="13" t="s">
        <v>34</v>
      </c>
      <c r="T275" s="15">
        <v>0</v>
      </c>
      <c r="U275" s="13"/>
      <c r="V275" s="15">
        <v>0</v>
      </c>
      <c r="W275" s="13" t="s">
        <v>48</v>
      </c>
      <c r="X275" s="15" t="s">
        <v>36</v>
      </c>
      <c r="Y275" s="13" t="s">
        <v>59</v>
      </c>
    </row>
    <row x14ac:dyDescent="0.25" r="276" customHeight="1" ht="18.75">
      <c r="A276" s="5">
        <v>74021247</v>
      </c>
      <c r="B276" s="6">
        <v>937</v>
      </c>
      <c r="C276" s="7" t="s">
        <v>1413</v>
      </c>
      <c r="D276" s="7" t="s">
        <v>1414</v>
      </c>
      <c r="E276" s="8">
        <v>74021247</v>
      </c>
      <c r="F276" s="8">
        <v>937</v>
      </c>
      <c r="G276" s="7" t="s">
        <v>27</v>
      </c>
      <c r="H276" s="7" t="s">
        <v>1415</v>
      </c>
      <c r="I276" s="7" t="s">
        <v>1416</v>
      </c>
      <c r="J276" s="8">
        <f>79218975277</f>
      </c>
      <c r="K276" s="9"/>
      <c r="L276" s="7" t="s">
        <v>54</v>
      </c>
      <c r="M276" s="8">
        <v>188</v>
      </c>
      <c r="N276" s="7" t="s">
        <v>55</v>
      </c>
      <c r="O276" s="7" t="s">
        <v>56</v>
      </c>
      <c r="P276" s="7" t="s">
        <v>57</v>
      </c>
      <c r="Q276" s="8" t="s">
        <v>58</v>
      </c>
      <c r="R276" s="7" t="s">
        <v>33</v>
      </c>
      <c r="S276" s="7" t="s">
        <v>34</v>
      </c>
      <c r="T276" s="10">
        <v>0</v>
      </c>
      <c r="U276" s="7"/>
      <c r="V276" s="10">
        <v>0</v>
      </c>
      <c r="W276" s="7" t="s">
        <v>48</v>
      </c>
      <c r="X276" s="10" t="s">
        <v>36</v>
      </c>
      <c r="Y276" s="7" t="s">
        <v>37</v>
      </c>
    </row>
    <row x14ac:dyDescent="0.25" r="277" customHeight="1" ht="18.75">
      <c r="A277" s="11">
        <v>74021248</v>
      </c>
      <c r="B277" s="12">
        <v>938</v>
      </c>
      <c r="C277" s="13" t="s">
        <v>1417</v>
      </c>
      <c r="D277" s="13" t="s">
        <v>1418</v>
      </c>
      <c r="E277" s="14">
        <v>74021248</v>
      </c>
      <c r="F277" s="14">
        <v>938</v>
      </c>
      <c r="G277" s="13" t="s">
        <v>27</v>
      </c>
      <c r="H277" s="13" t="s">
        <v>1419</v>
      </c>
      <c r="I277" s="13" t="s">
        <v>1420</v>
      </c>
      <c r="J277" s="14">
        <f>79095881328</f>
      </c>
      <c r="K277" s="9"/>
      <c r="L277" s="13" t="s">
        <v>54</v>
      </c>
      <c r="M277" s="14">
        <v>188</v>
      </c>
      <c r="N277" s="13" t="s">
        <v>55</v>
      </c>
      <c r="O277" s="13" t="s">
        <v>56</v>
      </c>
      <c r="P277" s="13" t="s">
        <v>1421</v>
      </c>
      <c r="Q277" s="14" t="s">
        <v>112</v>
      </c>
      <c r="R277" s="13" t="s">
        <v>33</v>
      </c>
      <c r="S277" s="13" t="s">
        <v>34</v>
      </c>
      <c r="T277" s="15">
        <v>0</v>
      </c>
      <c r="U277" s="13"/>
      <c r="V277" s="15">
        <v>0</v>
      </c>
      <c r="W277" s="13" t="s">
        <v>48</v>
      </c>
      <c r="X277" s="15" t="s">
        <v>65</v>
      </c>
      <c r="Y277" s="13" t="s">
        <v>59</v>
      </c>
    </row>
    <row x14ac:dyDescent="0.25" r="278" customHeight="1" ht="18.75">
      <c r="A278" s="5">
        <v>74021251</v>
      </c>
      <c r="B278" s="6">
        <v>942</v>
      </c>
      <c r="C278" s="7" t="s">
        <v>1422</v>
      </c>
      <c r="D278" s="7" t="s">
        <v>1423</v>
      </c>
      <c r="E278" s="8">
        <v>74021251</v>
      </c>
      <c r="F278" s="8">
        <v>942</v>
      </c>
      <c r="G278" s="7" t="s">
        <v>27</v>
      </c>
      <c r="H278" s="7" t="s">
        <v>1424</v>
      </c>
      <c r="I278" s="7" t="s">
        <v>1425</v>
      </c>
      <c r="J278" s="8">
        <f>79253009254</f>
      </c>
      <c r="K278" s="9"/>
      <c r="L278" s="7" t="s">
        <v>544</v>
      </c>
      <c r="M278" s="8">
        <v>74</v>
      </c>
      <c r="N278" s="7" t="s">
        <v>545</v>
      </c>
      <c r="O278" s="7" t="s">
        <v>32</v>
      </c>
      <c r="P278" s="7" t="s">
        <v>32</v>
      </c>
      <c r="Q278" s="8" t="s">
        <v>58</v>
      </c>
      <c r="R278" s="7" t="s">
        <v>33</v>
      </c>
      <c r="S278" s="7" t="s">
        <v>34</v>
      </c>
      <c r="T278" s="10">
        <v>0</v>
      </c>
      <c r="U278" s="7"/>
      <c r="V278" s="10">
        <v>0</v>
      </c>
      <c r="W278" s="7" t="s">
        <v>48</v>
      </c>
      <c r="X278" s="10" t="s">
        <v>36</v>
      </c>
      <c r="Y278" s="7" t="s">
        <v>59</v>
      </c>
    </row>
    <row x14ac:dyDescent="0.25" r="279" customHeight="1" ht="18.75">
      <c r="A279" s="11">
        <v>74021252</v>
      </c>
      <c r="B279" s="12">
        <v>943</v>
      </c>
      <c r="C279" s="13" t="s">
        <v>1426</v>
      </c>
      <c r="D279" s="13" t="s">
        <v>1427</v>
      </c>
      <c r="E279" s="14">
        <v>74021252</v>
      </c>
      <c r="F279" s="14">
        <v>943</v>
      </c>
      <c r="G279" s="13" t="s">
        <v>27</v>
      </c>
      <c r="H279" s="13" t="s">
        <v>1428</v>
      </c>
      <c r="I279" s="13" t="s">
        <v>1429</v>
      </c>
      <c r="J279" s="14">
        <f>79253002853</f>
      </c>
      <c r="K279" s="9"/>
      <c r="L279" s="13" t="s">
        <v>544</v>
      </c>
      <c r="M279" s="14">
        <v>74</v>
      </c>
      <c r="N279" s="13" t="s">
        <v>545</v>
      </c>
      <c r="O279" s="13" t="s">
        <v>232</v>
      </c>
      <c r="P279" s="13" t="s">
        <v>1360</v>
      </c>
      <c r="Q279" s="14" t="s">
        <v>1427</v>
      </c>
      <c r="R279" s="13" t="s">
        <v>33</v>
      </c>
      <c r="S279" s="13" t="s">
        <v>34</v>
      </c>
      <c r="T279" s="15">
        <v>0</v>
      </c>
      <c r="U279" s="13"/>
      <c r="V279" s="15">
        <v>0</v>
      </c>
      <c r="W279" s="13" t="s">
        <v>48</v>
      </c>
      <c r="X279" s="15" t="s">
        <v>36</v>
      </c>
      <c r="Y279" s="13" t="s">
        <v>37</v>
      </c>
    </row>
    <row x14ac:dyDescent="0.25" r="280" customHeight="1" ht="18.75">
      <c r="A280" s="5">
        <v>74021253</v>
      </c>
      <c r="B280" s="6">
        <v>944</v>
      </c>
      <c r="C280" s="7" t="s">
        <v>1430</v>
      </c>
      <c r="D280" s="7" t="s">
        <v>1431</v>
      </c>
      <c r="E280" s="8">
        <v>74021253</v>
      </c>
      <c r="F280" s="8">
        <v>944</v>
      </c>
      <c r="G280" s="7" t="s">
        <v>27</v>
      </c>
      <c r="H280" s="7" t="s">
        <v>1432</v>
      </c>
      <c r="I280" s="7" t="s">
        <v>1433</v>
      </c>
      <c r="J280" s="8">
        <f>79366669673</f>
      </c>
      <c r="K280" s="9"/>
      <c r="L280" s="7" t="s">
        <v>544</v>
      </c>
      <c r="M280" s="8">
        <v>74</v>
      </c>
      <c r="N280" s="7" t="s">
        <v>545</v>
      </c>
      <c r="O280" s="7" t="s">
        <v>82</v>
      </c>
      <c r="P280" s="7" t="s">
        <v>268</v>
      </c>
      <c r="Q280" s="8" t="s">
        <v>58</v>
      </c>
      <c r="R280" s="7" t="s">
        <v>33</v>
      </c>
      <c r="S280" s="7" t="s">
        <v>34</v>
      </c>
      <c r="T280" s="10">
        <v>0</v>
      </c>
      <c r="U280" s="7"/>
      <c r="V280" s="10">
        <v>0</v>
      </c>
      <c r="W280" s="7" t="s">
        <v>48</v>
      </c>
      <c r="X280" s="10" t="s">
        <v>36</v>
      </c>
      <c r="Y280" s="7" t="s">
        <v>37</v>
      </c>
    </row>
    <row x14ac:dyDescent="0.25" r="281" customHeight="1" ht="18.75">
      <c r="A281" s="11">
        <v>74021259</v>
      </c>
      <c r="B281" s="12">
        <v>950</v>
      </c>
      <c r="C281" s="13" t="s">
        <v>1434</v>
      </c>
      <c r="D281" s="13" t="s">
        <v>1435</v>
      </c>
      <c r="E281" s="14">
        <v>74021259</v>
      </c>
      <c r="F281" s="14">
        <v>950</v>
      </c>
      <c r="G281" s="13" t="s">
        <v>27</v>
      </c>
      <c r="H281" s="13" t="s">
        <v>1436</v>
      </c>
      <c r="I281" s="13" t="s">
        <v>1437</v>
      </c>
      <c r="J281" s="14">
        <f>74951063406</f>
      </c>
      <c r="K281" s="9"/>
      <c r="L281" s="13" t="s">
        <v>1334</v>
      </c>
      <c r="M281" s="14">
        <v>123</v>
      </c>
      <c r="N281" s="13" t="s">
        <v>1335</v>
      </c>
      <c r="O281" s="13" t="s">
        <v>32</v>
      </c>
      <c r="P281" s="13" t="s">
        <v>32</v>
      </c>
      <c r="Q281" s="14" t="s">
        <v>58</v>
      </c>
      <c r="R281" s="13" t="s">
        <v>33</v>
      </c>
      <c r="S281" s="13" t="s">
        <v>34</v>
      </c>
      <c r="T281" s="15">
        <v>0</v>
      </c>
      <c r="U281" s="13"/>
      <c r="V281" s="15">
        <v>0</v>
      </c>
      <c r="W281" s="13" t="s">
        <v>48</v>
      </c>
      <c r="X281" s="15" t="s">
        <v>36</v>
      </c>
      <c r="Y281" s="13" t="s">
        <v>37</v>
      </c>
    </row>
    <row x14ac:dyDescent="0.25" r="282" customHeight="1" ht="18.75">
      <c r="A282" s="5">
        <v>74021262</v>
      </c>
      <c r="B282" s="6">
        <v>951</v>
      </c>
      <c r="C282" s="7" t="s">
        <v>1438</v>
      </c>
      <c r="D282" s="7" t="s">
        <v>1439</v>
      </c>
      <c r="E282" s="8">
        <v>74021262</v>
      </c>
      <c r="F282" s="8">
        <v>951</v>
      </c>
      <c r="G282" s="7" t="s">
        <v>27</v>
      </c>
      <c r="H282" s="7" t="s">
        <v>1440</v>
      </c>
      <c r="I282" s="7" t="s">
        <v>1441</v>
      </c>
      <c r="J282" s="8">
        <f>73422150670</f>
      </c>
      <c r="K282" s="9"/>
      <c r="L282" s="7" t="s">
        <v>42</v>
      </c>
      <c r="M282" s="8">
        <v>91</v>
      </c>
      <c r="N282" s="7" t="s">
        <v>1442</v>
      </c>
      <c r="O282" s="7" t="s">
        <v>96</v>
      </c>
      <c r="P282" s="7" t="s">
        <v>978</v>
      </c>
      <c r="Q282" s="8" t="s">
        <v>1439</v>
      </c>
      <c r="R282" s="7" t="s">
        <v>33</v>
      </c>
      <c r="S282" s="7" t="s">
        <v>34</v>
      </c>
      <c r="T282" s="10">
        <v>0</v>
      </c>
      <c r="U282" s="7"/>
      <c r="V282" s="10">
        <v>0</v>
      </c>
      <c r="W282" s="7" t="s">
        <v>48</v>
      </c>
      <c r="X282" s="10" t="s">
        <v>36</v>
      </c>
      <c r="Y282" s="7" t="s">
        <v>37</v>
      </c>
    </row>
    <row x14ac:dyDescent="0.25" r="283" customHeight="1" ht="18.75">
      <c r="A283" s="11">
        <v>74021261</v>
      </c>
      <c r="B283" s="12">
        <v>952</v>
      </c>
      <c r="C283" s="13" t="s">
        <v>1443</v>
      </c>
      <c r="D283" s="13" t="s">
        <v>1444</v>
      </c>
      <c r="E283" s="14">
        <v>74021261</v>
      </c>
      <c r="F283" s="14">
        <v>952</v>
      </c>
      <c r="G283" s="13" t="s">
        <v>27</v>
      </c>
      <c r="H283" s="13" t="s">
        <v>1445</v>
      </c>
      <c r="I283" s="13" t="s">
        <v>1446</v>
      </c>
      <c r="J283" s="14">
        <f>79636306139</f>
      </c>
      <c r="K283" s="9"/>
      <c r="L283" s="13" t="s">
        <v>30</v>
      </c>
      <c r="M283" s="14">
        <v>56</v>
      </c>
      <c r="N283" s="13" t="s">
        <v>31</v>
      </c>
      <c r="O283" s="13" t="s">
        <v>232</v>
      </c>
      <c r="P283" s="13" t="s">
        <v>1260</v>
      </c>
      <c r="Q283" s="14" t="s">
        <v>1447</v>
      </c>
      <c r="R283" s="13" t="s">
        <v>33</v>
      </c>
      <c r="S283" s="13" t="s">
        <v>34</v>
      </c>
      <c r="T283" s="15">
        <v>0</v>
      </c>
      <c r="U283" s="13"/>
      <c r="V283" s="15">
        <v>0</v>
      </c>
      <c r="W283" s="13" t="s">
        <v>48</v>
      </c>
      <c r="X283" s="15" t="s">
        <v>65</v>
      </c>
      <c r="Y283" s="13" t="s">
        <v>37</v>
      </c>
    </row>
    <row x14ac:dyDescent="0.25" r="284" customHeight="1" ht="18.75">
      <c r="A284" s="5">
        <v>74021263</v>
      </c>
      <c r="B284" s="6">
        <v>953</v>
      </c>
      <c r="C284" s="7" t="s">
        <v>1448</v>
      </c>
      <c r="D284" s="7" t="s">
        <v>1449</v>
      </c>
      <c r="E284" s="8">
        <v>74021263</v>
      </c>
      <c r="F284" s="8">
        <v>953</v>
      </c>
      <c r="G284" s="7" t="s">
        <v>27</v>
      </c>
      <c r="H284" s="7" t="s">
        <v>1450</v>
      </c>
      <c r="I284" s="7" t="s">
        <v>1451</v>
      </c>
      <c r="J284" s="8">
        <f>78555245510</f>
      </c>
      <c r="K284" s="9"/>
      <c r="L284" s="7" t="s">
        <v>42</v>
      </c>
      <c r="M284" s="8">
        <v>127</v>
      </c>
      <c r="N284" s="7" t="s">
        <v>1452</v>
      </c>
      <c r="O284" s="7" t="s">
        <v>44</v>
      </c>
      <c r="P284" s="7" t="s">
        <v>1453</v>
      </c>
      <c r="Q284" s="8" t="s">
        <v>1454</v>
      </c>
      <c r="R284" s="7" t="s">
        <v>33</v>
      </c>
      <c r="S284" s="7" t="s">
        <v>34</v>
      </c>
      <c r="T284" s="10">
        <v>0</v>
      </c>
      <c r="U284" s="7"/>
      <c r="V284" s="10">
        <v>0</v>
      </c>
      <c r="W284" s="7" t="s">
        <v>48</v>
      </c>
      <c r="X284" s="10" t="s">
        <v>36</v>
      </c>
      <c r="Y284" s="7" t="s">
        <v>37</v>
      </c>
    </row>
    <row x14ac:dyDescent="0.25" r="285" customHeight="1" ht="18.75">
      <c r="A285" s="11">
        <v>74021264</v>
      </c>
      <c r="B285" s="12">
        <v>954</v>
      </c>
      <c r="C285" s="13" t="s">
        <v>1455</v>
      </c>
      <c r="D285" s="13" t="s">
        <v>1456</v>
      </c>
      <c r="E285" s="14">
        <v>74021264</v>
      </c>
      <c r="F285" s="14">
        <v>954</v>
      </c>
      <c r="G285" s="13" t="s">
        <v>27</v>
      </c>
      <c r="H285" s="13" t="s">
        <v>1457</v>
      </c>
      <c r="I285" s="13" t="s">
        <v>1458</v>
      </c>
      <c r="J285" s="14">
        <f>78452659943</f>
      </c>
      <c r="K285" s="9"/>
      <c r="L285" s="13" t="s">
        <v>327</v>
      </c>
      <c r="M285" s="14">
        <v>100623</v>
      </c>
      <c r="N285" s="13" t="s">
        <v>328</v>
      </c>
      <c r="O285" s="13" t="s">
        <v>44</v>
      </c>
      <c r="P285" s="13" t="s">
        <v>329</v>
      </c>
      <c r="Q285" s="14" t="s">
        <v>1459</v>
      </c>
      <c r="R285" s="13" t="s">
        <v>33</v>
      </c>
      <c r="S285" s="13" t="s">
        <v>34</v>
      </c>
      <c r="T285" s="15">
        <v>0</v>
      </c>
      <c r="U285" s="13"/>
      <c r="V285" s="15">
        <v>0</v>
      </c>
      <c r="W285" s="13" t="s">
        <v>48</v>
      </c>
      <c r="X285" s="15" t="s">
        <v>36</v>
      </c>
      <c r="Y285" s="13" t="s">
        <v>37</v>
      </c>
    </row>
    <row x14ac:dyDescent="0.25" r="286" customHeight="1" ht="18.75">
      <c r="A286" s="5">
        <v>74021265</v>
      </c>
      <c r="B286" s="6">
        <v>955</v>
      </c>
      <c r="C286" s="7" t="s">
        <v>1460</v>
      </c>
      <c r="D286" s="7" t="s">
        <v>1461</v>
      </c>
      <c r="E286" s="8">
        <v>74021265</v>
      </c>
      <c r="F286" s="8">
        <v>955</v>
      </c>
      <c r="G286" s="7" t="s">
        <v>27</v>
      </c>
      <c r="H286" s="7" t="s">
        <v>1462</v>
      </c>
      <c r="I286" s="7" t="s">
        <v>1463</v>
      </c>
      <c r="J286" s="8">
        <f>78452659942</f>
      </c>
      <c r="K286" s="9"/>
      <c r="L286" s="7" t="s">
        <v>327</v>
      </c>
      <c r="M286" s="8">
        <v>100623</v>
      </c>
      <c r="N286" s="7" t="s">
        <v>328</v>
      </c>
      <c r="O286" s="7" t="s">
        <v>44</v>
      </c>
      <c r="P286" s="7" t="s">
        <v>329</v>
      </c>
      <c r="Q286" s="8" t="s">
        <v>1464</v>
      </c>
      <c r="R286" s="7" t="s">
        <v>33</v>
      </c>
      <c r="S286" s="7" t="s">
        <v>34</v>
      </c>
      <c r="T286" s="10">
        <v>0</v>
      </c>
      <c r="U286" s="7"/>
      <c r="V286" s="10">
        <v>0</v>
      </c>
      <c r="W286" s="7" t="s">
        <v>48</v>
      </c>
      <c r="X286" s="10" t="s">
        <v>36</v>
      </c>
      <c r="Y286" s="7" t="s">
        <v>126</v>
      </c>
    </row>
    <row x14ac:dyDescent="0.25" r="287" customHeight="1" ht="18.75">
      <c r="A287" s="11">
        <v>74021266</v>
      </c>
      <c r="B287" s="12">
        <v>956</v>
      </c>
      <c r="C287" s="13" t="s">
        <v>1465</v>
      </c>
      <c r="D287" s="13" t="s">
        <v>1466</v>
      </c>
      <c r="E287" s="14">
        <v>74021266</v>
      </c>
      <c r="F287" s="14">
        <v>956</v>
      </c>
      <c r="G287" s="13" t="s">
        <v>27</v>
      </c>
      <c r="H287" s="13" t="s">
        <v>1467</v>
      </c>
      <c r="I287" s="13" t="s">
        <v>1468</v>
      </c>
      <c r="J287" s="14">
        <f>79636305512</f>
      </c>
      <c r="K287" s="9"/>
      <c r="L287" s="13" t="s">
        <v>30</v>
      </c>
      <c r="M287" s="14">
        <v>56</v>
      </c>
      <c r="N287" s="13" t="s">
        <v>31</v>
      </c>
      <c r="O287" s="13" t="s">
        <v>32</v>
      </c>
      <c r="P287" s="13" t="s">
        <v>32</v>
      </c>
      <c r="Q287" s="14" t="s">
        <v>58</v>
      </c>
      <c r="R287" s="13" t="s">
        <v>33</v>
      </c>
      <c r="S287" s="13" t="s">
        <v>34</v>
      </c>
      <c r="T287" s="15">
        <v>0</v>
      </c>
      <c r="U287" s="13"/>
      <c r="V287" s="15">
        <v>0</v>
      </c>
      <c r="W287" s="13" t="s">
        <v>48</v>
      </c>
      <c r="X287" s="15" t="s">
        <v>36</v>
      </c>
      <c r="Y287" s="13" t="s">
        <v>37</v>
      </c>
    </row>
    <row x14ac:dyDescent="0.25" r="288" customHeight="1" ht="18.75">
      <c r="A288" s="5">
        <v>74021269</v>
      </c>
      <c r="B288" s="6">
        <v>959</v>
      </c>
      <c r="C288" s="7" t="s">
        <v>1469</v>
      </c>
      <c r="D288" s="7" t="s">
        <v>1470</v>
      </c>
      <c r="E288" s="8">
        <v>74021269</v>
      </c>
      <c r="F288" s="8">
        <v>959</v>
      </c>
      <c r="G288" s="7" t="s">
        <v>27</v>
      </c>
      <c r="H288" s="7" t="s">
        <v>1471</v>
      </c>
      <c r="I288" s="7" t="s">
        <v>1472</v>
      </c>
      <c r="J288" s="8">
        <f>79310089919</f>
      </c>
      <c r="K288" s="9"/>
      <c r="L288" s="7" t="s">
        <v>54</v>
      </c>
      <c r="M288" s="8">
        <v>188</v>
      </c>
      <c r="N288" s="7" t="s">
        <v>55</v>
      </c>
      <c r="O288" s="7" t="s">
        <v>56</v>
      </c>
      <c r="P288" s="7" t="s">
        <v>57</v>
      </c>
      <c r="Q288" s="8" t="s">
        <v>58</v>
      </c>
      <c r="R288" s="7" t="s">
        <v>33</v>
      </c>
      <c r="S288" s="7" t="s">
        <v>34</v>
      </c>
      <c r="T288" s="10">
        <v>0</v>
      </c>
      <c r="U288" s="7"/>
      <c r="V288" s="10">
        <v>0</v>
      </c>
      <c r="W288" s="7" t="s">
        <v>48</v>
      </c>
      <c r="X288" s="10" t="s">
        <v>36</v>
      </c>
      <c r="Y288" s="7" t="s">
        <v>84</v>
      </c>
    </row>
    <row x14ac:dyDescent="0.25" r="289" customHeight="1" ht="18.75">
      <c r="A289" s="11">
        <v>74021271</v>
      </c>
      <c r="B289" s="12">
        <v>960</v>
      </c>
      <c r="C289" s="13" t="s">
        <v>1473</v>
      </c>
      <c r="D289" s="13" t="s">
        <v>1474</v>
      </c>
      <c r="E289" s="14">
        <v>74021271</v>
      </c>
      <c r="F289" s="14">
        <v>960</v>
      </c>
      <c r="G289" s="13" t="s">
        <v>27</v>
      </c>
      <c r="H289" s="13" t="s">
        <v>1475</v>
      </c>
      <c r="I289" s="13" t="s">
        <v>1476</v>
      </c>
      <c r="J289" s="14">
        <f>79218557980</f>
      </c>
      <c r="K289" s="9"/>
      <c r="L289" s="13" t="s">
        <v>54</v>
      </c>
      <c r="M289" s="14">
        <v>188</v>
      </c>
      <c r="N289" s="13" t="s">
        <v>55</v>
      </c>
      <c r="O289" s="13" t="s">
        <v>56</v>
      </c>
      <c r="P289" s="13" t="s">
        <v>1477</v>
      </c>
      <c r="Q289" s="14" t="s">
        <v>112</v>
      </c>
      <c r="R289" s="13" t="s">
        <v>33</v>
      </c>
      <c r="S289" s="13" t="s">
        <v>34</v>
      </c>
      <c r="T289" s="15">
        <v>0</v>
      </c>
      <c r="U289" s="13"/>
      <c r="V289" s="15">
        <v>0</v>
      </c>
      <c r="W289" s="13" t="s">
        <v>48</v>
      </c>
      <c r="X289" s="15" t="s">
        <v>65</v>
      </c>
      <c r="Y289" s="13" t="s">
        <v>59</v>
      </c>
    </row>
    <row x14ac:dyDescent="0.25" r="290" customHeight="1" ht="18.75">
      <c r="A290" s="5">
        <v>74021274</v>
      </c>
      <c r="B290" s="6">
        <v>963</v>
      </c>
      <c r="C290" s="7" t="s">
        <v>1478</v>
      </c>
      <c r="D290" s="7" t="s">
        <v>1479</v>
      </c>
      <c r="E290" s="8">
        <v>74021274</v>
      </c>
      <c r="F290" s="8">
        <v>963</v>
      </c>
      <c r="G290" s="7" t="s">
        <v>27</v>
      </c>
      <c r="H290" s="7" t="s">
        <v>1480</v>
      </c>
      <c r="I290" s="7" t="s">
        <v>1481</v>
      </c>
      <c r="J290" s="8">
        <f>79218975294</f>
      </c>
      <c r="K290" s="9"/>
      <c r="L290" s="7" t="s">
        <v>54</v>
      </c>
      <c r="M290" s="8">
        <v>188</v>
      </c>
      <c r="N290" s="7" t="s">
        <v>55</v>
      </c>
      <c r="O290" s="7" t="s">
        <v>56</v>
      </c>
      <c r="P290" s="7" t="s">
        <v>57</v>
      </c>
      <c r="Q290" s="8" t="s">
        <v>58</v>
      </c>
      <c r="R290" s="7" t="s">
        <v>33</v>
      </c>
      <c r="S290" s="7" t="s">
        <v>34</v>
      </c>
      <c r="T290" s="10">
        <v>0</v>
      </c>
      <c r="U290" s="7"/>
      <c r="V290" s="10">
        <v>0</v>
      </c>
      <c r="W290" s="7" t="s">
        <v>48</v>
      </c>
      <c r="X290" s="10" t="s">
        <v>36</v>
      </c>
      <c r="Y290" s="7" t="s">
        <v>37</v>
      </c>
    </row>
    <row x14ac:dyDescent="0.25" r="291" customHeight="1" ht="18.75">
      <c r="A291" s="11">
        <v>74021275</v>
      </c>
      <c r="B291" s="12">
        <v>964</v>
      </c>
      <c r="C291" s="13" t="s">
        <v>1482</v>
      </c>
      <c r="D291" s="13" t="s">
        <v>1483</v>
      </c>
      <c r="E291" s="14">
        <v>74021275</v>
      </c>
      <c r="F291" s="14">
        <v>964</v>
      </c>
      <c r="G291" s="13" t="s">
        <v>27</v>
      </c>
      <c r="H291" s="13" t="s">
        <v>1484</v>
      </c>
      <c r="I291" s="13" t="s">
        <v>1485</v>
      </c>
      <c r="J291" s="14">
        <f>79218975744</f>
      </c>
      <c r="K291" s="9"/>
      <c r="L291" s="13" t="s">
        <v>54</v>
      </c>
      <c r="M291" s="14">
        <v>188</v>
      </c>
      <c r="N291" s="13" t="s">
        <v>55</v>
      </c>
      <c r="O291" s="13" t="s">
        <v>56</v>
      </c>
      <c r="P291" s="13" t="s">
        <v>57</v>
      </c>
      <c r="Q291" s="14" t="s">
        <v>58</v>
      </c>
      <c r="R291" s="13" t="s">
        <v>33</v>
      </c>
      <c r="S291" s="13" t="s">
        <v>34</v>
      </c>
      <c r="T291" s="15">
        <v>0</v>
      </c>
      <c r="U291" s="13"/>
      <c r="V291" s="15">
        <v>0</v>
      </c>
      <c r="W291" s="13" t="s">
        <v>48</v>
      </c>
      <c r="X291" s="15" t="s">
        <v>36</v>
      </c>
      <c r="Y291" s="13" t="s">
        <v>84</v>
      </c>
    </row>
    <row x14ac:dyDescent="0.25" r="292" customHeight="1" ht="18.75">
      <c r="A292" s="5">
        <v>74021276</v>
      </c>
      <c r="B292" s="6">
        <v>965</v>
      </c>
      <c r="C292" s="7" t="s">
        <v>1486</v>
      </c>
      <c r="D292" s="7" t="s">
        <v>1487</v>
      </c>
      <c r="E292" s="8">
        <v>74021276</v>
      </c>
      <c r="F292" s="8">
        <v>965</v>
      </c>
      <c r="G292" s="7" t="s">
        <v>27</v>
      </c>
      <c r="H292" s="7" t="s">
        <v>1488</v>
      </c>
      <c r="I292" s="7" t="s">
        <v>1489</v>
      </c>
      <c r="J292" s="8">
        <f>73472262444</f>
      </c>
      <c r="K292" s="8">
        <v>1025</v>
      </c>
      <c r="L292" s="7" t="s">
        <v>94</v>
      </c>
      <c r="M292" s="8">
        <v>130</v>
      </c>
      <c r="N292" s="7" t="s">
        <v>1490</v>
      </c>
      <c r="O292" s="7" t="s">
        <v>96</v>
      </c>
      <c r="P292" s="7" t="s">
        <v>97</v>
      </c>
      <c r="Q292" s="8" t="s">
        <v>1487</v>
      </c>
      <c r="R292" s="7" t="s">
        <v>33</v>
      </c>
      <c r="S292" s="7" t="s">
        <v>34</v>
      </c>
      <c r="T292" s="10">
        <v>0</v>
      </c>
      <c r="U292" s="7"/>
      <c r="V292" s="10">
        <v>0</v>
      </c>
      <c r="W292" s="7" t="s">
        <v>48</v>
      </c>
      <c r="X292" s="10" t="s">
        <v>36</v>
      </c>
      <c r="Y292" s="7" t="s">
        <v>84</v>
      </c>
    </row>
    <row x14ac:dyDescent="0.25" r="293" customHeight="1" ht="18.75">
      <c r="A293" s="11">
        <v>74021282</v>
      </c>
      <c r="B293" s="12">
        <v>970</v>
      </c>
      <c r="C293" s="13" t="s">
        <v>1491</v>
      </c>
      <c r="D293" s="13" t="s">
        <v>1492</v>
      </c>
      <c r="E293" s="14">
        <v>74021282</v>
      </c>
      <c r="F293" s="14">
        <v>970</v>
      </c>
      <c r="G293" s="13" t="s">
        <v>27</v>
      </c>
      <c r="H293" s="13" t="s">
        <v>1493</v>
      </c>
      <c r="I293" s="13" t="s">
        <v>1494</v>
      </c>
      <c r="J293" s="14">
        <f>79108602120</f>
      </c>
      <c r="K293" s="9"/>
      <c r="L293" s="13" t="s">
        <v>230</v>
      </c>
      <c r="M293" s="14">
        <v>100473</v>
      </c>
      <c r="N293" s="13" t="s">
        <v>666</v>
      </c>
      <c r="O293" s="13" t="s">
        <v>232</v>
      </c>
      <c r="P293" s="13" t="s">
        <v>1495</v>
      </c>
      <c r="Q293" s="14" t="s">
        <v>1496</v>
      </c>
      <c r="R293" s="13" t="s">
        <v>33</v>
      </c>
      <c r="S293" s="13" t="s">
        <v>34</v>
      </c>
      <c r="T293" s="15">
        <v>0</v>
      </c>
      <c r="U293" s="13"/>
      <c r="V293" s="15">
        <v>0</v>
      </c>
      <c r="W293" s="13" t="s">
        <v>48</v>
      </c>
      <c r="X293" s="15" t="s">
        <v>36</v>
      </c>
      <c r="Y293" s="13" t="s">
        <v>59</v>
      </c>
    </row>
    <row x14ac:dyDescent="0.25" r="294" customHeight="1" ht="18.75">
      <c r="A294" s="5">
        <v>74021299</v>
      </c>
      <c r="B294" s="6">
        <v>986</v>
      </c>
      <c r="C294" s="7" t="s">
        <v>1497</v>
      </c>
      <c r="D294" s="7" t="s">
        <v>1498</v>
      </c>
      <c r="E294" s="8">
        <v>74021299</v>
      </c>
      <c r="F294" s="8">
        <v>986</v>
      </c>
      <c r="G294" s="7" t="s">
        <v>27</v>
      </c>
      <c r="H294" s="7" t="s">
        <v>1499</v>
      </c>
      <c r="I294" s="7" t="s">
        <v>1500</v>
      </c>
      <c r="J294" s="8">
        <f>79282408621</f>
      </c>
      <c r="K294" s="9"/>
      <c r="L294" s="7" t="s">
        <v>54</v>
      </c>
      <c r="M294" s="8">
        <v>77</v>
      </c>
      <c r="N294" s="7" t="s">
        <v>1044</v>
      </c>
      <c r="O294" s="7" t="s">
        <v>119</v>
      </c>
      <c r="P294" s="7" t="s">
        <v>1045</v>
      </c>
      <c r="Q294" s="8" t="s">
        <v>58</v>
      </c>
      <c r="R294" s="7" t="s">
        <v>33</v>
      </c>
      <c r="S294" s="7" t="s">
        <v>34</v>
      </c>
      <c r="T294" s="10">
        <v>0</v>
      </c>
      <c r="U294" s="7"/>
      <c r="V294" s="10">
        <v>0</v>
      </c>
      <c r="W294" s="7" t="s">
        <v>48</v>
      </c>
      <c r="X294" s="10" t="s">
        <v>36</v>
      </c>
      <c r="Y294" s="7" t="s">
        <v>37</v>
      </c>
    </row>
    <row x14ac:dyDescent="0.25" r="295" customHeight="1" ht="18.75">
      <c r="A295" s="11">
        <v>74021302</v>
      </c>
      <c r="B295" s="12">
        <v>988</v>
      </c>
      <c r="C295" s="13" t="s">
        <v>1501</v>
      </c>
      <c r="D295" s="13" t="s">
        <v>1502</v>
      </c>
      <c r="E295" s="14">
        <v>74021302</v>
      </c>
      <c r="F295" s="14">
        <v>988</v>
      </c>
      <c r="G295" s="13" t="s">
        <v>27</v>
      </c>
      <c r="H295" s="13" t="s">
        <v>1503</v>
      </c>
      <c r="I295" s="13" t="s">
        <v>1504</v>
      </c>
      <c r="J295" s="14">
        <f>79274809258</f>
      </c>
      <c r="K295" s="9"/>
      <c r="L295" s="13" t="s">
        <v>54</v>
      </c>
      <c r="M295" s="14">
        <v>188</v>
      </c>
      <c r="N295" s="13" t="s">
        <v>55</v>
      </c>
      <c r="O295" s="13" t="s">
        <v>44</v>
      </c>
      <c r="P295" s="13" t="s">
        <v>1505</v>
      </c>
      <c r="Q295" s="14" t="s">
        <v>58</v>
      </c>
      <c r="R295" s="13" t="s">
        <v>33</v>
      </c>
      <c r="S295" s="13" t="s">
        <v>34</v>
      </c>
      <c r="T295" s="15">
        <v>0</v>
      </c>
      <c r="U295" s="13"/>
      <c r="V295" s="15">
        <v>0</v>
      </c>
      <c r="W295" s="13" t="s">
        <v>48</v>
      </c>
      <c r="X295" s="15" t="s">
        <v>65</v>
      </c>
      <c r="Y295" s="13" t="s">
        <v>59</v>
      </c>
    </row>
    <row x14ac:dyDescent="0.25" r="296" customHeight="1" ht="18.75">
      <c r="A296" s="5">
        <v>74021304</v>
      </c>
      <c r="B296" s="6">
        <v>990</v>
      </c>
      <c r="C296" s="7" t="s">
        <v>1506</v>
      </c>
      <c r="D296" s="7" t="s">
        <v>1507</v>
      </c>
      <c r="E296" s="8">
        <v>74021304</v>
      </c>
      <c r="F296" s="8">
        <v>990</v>
      </c>
      <c r="G296" s="7" t="s">
        <v>27</v>
      </c>
      <c r="H296" s="7" t="s">
        <v>1508</v>
      </c>
      <c r="I296" s="7" t="s">
        <v>1509</v>
      </c>
      <c r="J296" s="8">
        <f>79624511341</f>
      </c>
      <c r="K296" s="9"/>
      <c r="L296" s="7" t="s">
        <v>117</v>
      </c>
      <c r="M296" s="8">
        <v>210</v>
      </c>
      <c r="N296" s="7" t="s">
        <v>118</v>
      </c>
      <c r="O296" s="7" t="s">
        <v>119</v>
      </c>
      <c r="P296" s="7" t="s">
        <v>1510</v>
      </c>
      <c r="Q296" s="8" t="s">
        <v>58</v>
      </c>
      <c r="R296" s="7" t="s">
        <v>33</v>
      </c>
      <c r="S296" s="7" t="s">
        <v>34</v>
      </c>
      <c r="T296" s="10">
        <v>0</v>
      </c>
      <c r="U296" s="7"/>
      <c r="V296" s="10">
        <v>0</v>
      </c>
      <c r="W296" s="7" t="s">
        <v>48</v>
      </c>
      <c r="X296" s="10" t="s">
        <v>36</v>
      </c>
      <c r="Y296" s="7" t="s">
        <v>126</v>
      </c>
    </row>
    <row x14ac:dyDescent="0.25" r="297" customHeight="1" ht="18.75">
      <c r="A297" s="11">
        <v>74021305</v>
      </c>
      <c r="B297" s="12">
        <v>991</v>
      </c>
      <c r="C297" s="13" t="s">
        <v>1511</v>
      </c>
      <c r="D297" s="13" t="s">
        <v>1512</v>
      </c>
      <c r="E297" s="14">
        <v>74021305</v>
      </c>
      <c r="F297" s="14">
        <v>991</v>
      </c>
      <c r="G297" s="13" t="s">
        <v>27</v>
      </c>
      <c r="H297" s="13" t="s">
        <v>1513</v>
      </c>
      <c r="I297" s="13" t="s">
        <v>1514</v>
      </c>
      <c r="J297" s="14">
        <f>79633746018</f>
      </c>
      <c r="K297" s="9"/>
      <c r="L297" s="13" t="s">
        <v>117</v>
      </c>
      <c r="M297" s="14">
        <v>210</v>
      </c>
      <c r="N297" s="13" t="s">
        <v>118</v>
      </c>
      <c r="O297" s="13" t="s">
        <v>119</v>
      </c>
      <c r="P297" s="13" t="s">
        <v>806</v>
      </c>
      <c r="Q297" s="14" t="s">
        <v>58</v>
      </c>
      <c r="R297" s="13" t="s">
        <v>33</v>
      </c>
      <c r="S297" s="13" t="s">
        <v>47</v>
      </c>
      <c r="T297" s="15">
        <v>1</v>
      </c>
      <c r="U297" s="13"/>
      <c r="V297" s="15">
        <v>0</v>
      </c>
      <c r="W297" s="13" t="s">
        <v>48</v>
      </c>
      <c r="X297" s="15" t="s">
        <v>65</v>
      </c>
      <c r="Y297" s="13" t="s">
        <v>126</v>
      </c>
    </row>
    <row x14ac:dyDescent="0.25" r="298" customHeight="1" ht="18.75">
      <c r="A298" s="5">
        <v>74021306</v>
      </c>
      <c r="B298" s="6">
        <v>992</v>
      </c>
      <c r="C298" s="7" t="s">
        <v>1515</v>
      </c>
      <c r="D298" s="7" t="s">
        <v>1516</v>
      </c>
      <c r="E298" s="8">
        <v>74021306</v>
      </c>
      <c r="F298" s="8">
        <v>992</v>
      </c>
      <c r="G298" s="7" t="s">
        <v>27</v>
      </c>
      <c r="H298" s="7" t="s">
        <v>1517</v>
      </c>
      <c r="I298" s="7" t="s">
        <v>1518</v>
      </c>
      <c r="J298" s="8">
        <f>79612714468</f>
      </c>
      <c r="K298" s="9"/>
      <c r="L298" s="7" t="s">
        <v>117</v>
      </c>
      <c r="M298" s="8">
        <v>210</v>
      </c>
      <c r="N298" s="7" t="s">
        <v>118</v>
      </c>
      <c r="O298" s="7" t="s">
        <v>119</v>
      </c>
      <c r="P298" s="7" t="s">
        <v>1519</v>
      </c>
      <c r="Q298" s="8" t="s">
        <v>58</v>
      </c>
      <c r="R298" s="7" t="s">
        <v>33</v>
      </c>
      <c r="S298" s="7" t="s">
        <v>34</v>
      </c>
      <c r="T298" s="10">
        <v>0</v>
      </c>
      <c r="U298" s="7"/>
      <c r="V298" s="10">
        <v>0</v>
      </c>
      <c r="W298" s="7" t="s">
        <v>48</v>
      </c>
      <c r="X298" s="10" t="s">
        <v>65</v>
      </c>
      <c r="Y298" s="7" t="s">
        <v>126</v>
      </c>
    </row>
    <row x14ac:dyDescent="0.25" r="299" customHeight="1" ht="18.75">
      <c r="A299" s="11">
        <v>74021307</v>
      </c>
      <c r="B299" s="12">
        <v>993</v>
      </c>
      <c r="C299" s="13" t="s">
        <v>1520</v>
      </c>
      <c r="D299" s="13" t="s">
        <v>1521</v>
      </c>
      <c r="E299" s="14">
        <v>74021307</v>
      </c>
      <c r="F299" s="14">
        <v>993</v>
      </c>
      <c r="G299" s="13" t="s">
        <v>27</v>
      </c>
      <c r="H299" s="13" t="s">
        <v>1522</v>
      </c>
      <c r="I299" s="13" t="s">
        <v>1523</v>
      </c>
      <c r="J299" s="14">
        <f>79636304973</f>
      </c>
      <c r="K299" s="9"/>
      <c r="L299" s="13" t="s">
        <v>30</v>
      </c>
      <c r="M299" s="14">
        <v>56</v>
      </c>
      <c r="N299" s="13" t="s">
        <v>31</v>
      </c>
      <c r="O299" s="13" t="s">
        <v>82</v>
      </c>
      <c r="P299" s="13" t="s">
        <v>268</v>
      </c>
      <c r="Q299" s="14" t="s">
        <v>58</v>
      </c>
      <c r="R299" s="13" t="s">
        <v>33</v>
      </c>
      <c r="S299" s="13" t="s">
        <v>34</v>
      </c>
      <c r="T299" s="15">
        <v>0</v>
      </c>
      <c r="U299" s="13"/>
      <c r="V299" s="15">
        <v>0</v>
      </c>
      <c r="W299" s="13" t="s">
        <v>48</v>
      </c>
      <c r="X299" s="15" t="s">
        <v>36</v>
      </c>
      <c r="Y299" s="13" t="s">
        <v>37</v>
      </c>
    </row>
    <row x14ac:dyDescent="0.25" r="300" customHeight="1" ht="18.75">
      <c r="A300" s="5">
        <v>74021308</v>
      </c>
      <c r="B300" s="6">
        <v>994</v>
      </c>
      <c r="C300" s="7" t="s">
        <v>1524</v>
      </c>
      <c r="D300" s="7" t="s">
        <v>1525</v>
      </c>
      <c r="E300" s="8">
        <v>74021308</v>
      </c>
      <c r="F300" s="8">
        <v>994</v>
      </c>
      <c r="G300" s="7" t="s">
        <v>27</v>
      </c>
      <c r="H300" s="7" t="s">
        <v>1526</v>
      </c>
      <c r="I300" s="7" t="s">
        <v>1527</v>
      </c>
      <c r="J300" s="8">
        <f>79636305415</f>
      </c>
      <c r="K300" s="9"/>
      <c r="L300" s="7" t="s">
        <v>30</v>
      </c>
      <c r="M300" s="8">
        <v>56</v>
      </c>
      <c r="N300" s="7" t="s">
        <v>31</v>
      </c>
      <c r="O300" s="7" t="s">
        <v>82</v>
      </c>
      <c r="P300" s="7" t="s">
        <v>268</v>
      </c>
      <c r="Q300" s="8" t="s">
        <v>58</v>
      </c>
      <c r="R300" s="7" t="s">
        <v>33</v>
      </c>
      <c r="S300" s="7" t="s">
        <v>34</v>
      </c>
      <c r="T300" s="10">
        <v>0</v>
      </c>
      <c r="U300" s="7"/>
      <c r="V300" s="10">
        <v>0</v>
      </c>
      <c r="W300" s="7" t="s">
        <v>48</v>
      </c>
      <c r="X300" s="10" t="s">
        <v>36</v>
      </c>
      <c r="Y300" s="7" t="s">
        <v>37</v>
      </c>
    </row>
    <row x14ac:dyDescent="0.25" r="301" customHeight="1" ht="18.75">
      <c r="A301" s="11">
        <v>74221311</v>
      </c>
      <c r="B301" s="12">
        <v>996</v>
      </c>
      <c r="C301" s="13" t="s">
        <v>1528</v>
      </c>
      <c r="D301" s="13" t="s">
        <v>1529</v>
      </c>
      <c r="E301" s="14">
        <v>74321311</v>
      </c>
      <c r="F301" s="14">
        <v>996</v>
      </c>
      <c r="G301" s="13" t="s">
        <v>27</v>
      </c>
      <c r="H301" s="13" t="s">
        <v>1530</v>
      </c>
      <c r="I301" s="13" t="s">
        <v>1531</v>
      </c>
      <c r="J301" s="14">
        <f>74952408424</f>
      </c>
      <c r="K301" s="14">
        <v>6458</v>
      </c>
      <c r="L301" s="13" t="s">
        <v>1276</v>
      </c>
      <c r="M301" s="14">
        <v>105</v>
      </c>
      <c r="N301" s="13" t="s">
        <v>1277</v>
      </c>
      <c r="O301" s="13" t="s">
        <v>73</v>
      </c>
      <c r="P301" s="13" t="s">
        <v>1532</v>
      </c>
      <c r="Q301" s="14" t="s">
        <v>1533</v>
      </c>
      <c r="R301" s="13" t="s">
        <v>33</v>
      </c>
      <c r="S301" s="13" t="s">
        <v>47</v>
      </c>
      <c r="T301" s="15">
        <v>2</v>
      </c>
      <c r="U301" s="13"/>
      <c r="V301" s="15">
        <v>0</v>
      </c>
      <c r="W301" s="13" t="s">
        <v>48</v>
      </c>
      <c r="X301" s="15" t="s">
        <v>65</v>
      </c>
      <c r="Y301" s="13" t="s">
        <v>126</v>
      </c>
    </row>
    <row x14ac:dyDescent="0.25" r="302" customHeight="1" ht="18.75">
      <c r="A302" s="5">
        <v>74021315</v>
      </c>
      <c r="B302" s="6">
        <v>1000</v>
      </c>
      <c r="C302" s="7" t="s">
        <v>1534</v>
      </c>
      <c r="D302" s="7" t="s">
        <v>1535</v>
      </c>
      <c r="E302" s="8">
        <v>74021315</v>
      </c>
      <c r="F302" s="8">
        <v>1000</v>
      </c>
      <c r="G302" s="7" t="s">
        <v>27</v>
      </c>
      <c r="H302" s="7" t="s">
        <v>1536</v>
      </c>
      <c r="I302" s="7" t="s">
        <v>1537</v>
      </c>
      <c r="J302" s="8">
        <f>79252216020</f>
      </c>
      <c r="K302" s="9"/>
      <c r="L302" s="7" t="s">
        <v>544</v>
      </c>
      <c r="M302" s="8">
        <v>74</v>
      </c>
      <c r="N302" s="7" t="s">
        <v>545</v>
      </c>
      <c r="O302" s="7" t="s">
        <v>119</v>
      </c>
      <c r="P302" s="7" t="s">
        <v>1538</v>
      </c>
      <c r="Q302" s="8" t="s">
        <v>58</v>
      </c>
      <c r="R302" s="7" t="s">
        <v>33</v>
      </c>
      <c r="S302" s="7" t="s">
        <v>34</v>
      </c>
      <c r="T302" s="10">
        <v>0</v>
      </c>
      <c r="U302" s="7"/>
      <c r="V302" s="10">
        <v>0</v>
      </c>
      <c r="W302" s="7" t="s">
        <v>48</v>
      </c>
      <c r="X302" s="10" t="s">
        <v>36</v>
      </c>
      <c r="Y302" s="7" t="s">
        <v>59</v>
      </c>
    </row>
    <row x14ac:dyDescent="0.25" r="303" customHeight="1" ht="18.75">
      <c r="A303" s="11">
        <v>74021316</v>
      </c>
      <c r="B303" s="12">
        <v>1001</v>
      </c>
      <c r="C303" s="13" t="s">
        <v>1539</v>
      </c>
      <c r="D303" s="13" t="s">
        <v>1540</v>
      </c>
      <c r="E303" s="14">
        <v>74021316</v>
      </c>
      <c r="F303" s="14">
        <v>1001</v>
      </c>
      <c r="G303" s="13" t="s">
        <v>27</v>
      </c>
      <c r="H303" s="13" t="s">
        <v>1541</v>
      </c>
      <c r="I303" s="13" t="s">
        <v>1542</v>
      </c>
      <c r="J303" s="14">
        <f>79252214485</f>
      </c>
      <c r="K303" s="9"/>
      <c r="L303" s="13" t="s">
        <v>544</v>
      </c>
      <c r="M303" s="14">
        <v>74</v>
      </c>
      <c r="N303" s="13" t="s">
        <v>545</v>
      </c>
      <c r="O303" s="13" t="s">
        <v>232</v>
      </c>
      <c r="P303" s="13" t="s">
        <v>1371</v>
      </c>
      <c r="Q303" s="14" t="s">
        <v>1540</v>
      </c>
      <c r="R303" s="13" t="s">
        <v>33</v>
      </c>
      <c r="S303" s="13" t="s">
        <v>34</v>
      </c>
      <c r="T303" s="15">
        <v>0</v>
      </c>
      <c r="U303" s="13"/>
      <c r="V303" s="15">
        <v>0</v>
      </c>
      <c r="W303" s="13" t="s">
        <v>48</v>
      </c>
      <c r="X303" s="15" t="s">
        <v>36</v>
      </c>
      <c r="Y303" s="13" t="s">
        <v>59</v>
      </c>
    </row>
    <row x14ac:dyDescent="0.25" r="304" customHeight="1" ht="18.75">
      <c r="A304" s="5">
        <v>74021319</v>
      </c>
      <c r="B304" s="6">
        <v>1004</v>
      </c>
      <c r="C304" s="7" t="s">
        <v>1543</v>
      </c>
      <c r="D304" s="7" t="s">
        <v>1544</v>
      </c>
      <c r="E304" s="8">
        <v>74021319</v>
      </c>
      <c r="F304" s="8">
        <v>1004</v>
      </c>
      <c r="G304" s="7" t="s">
        <v>27</v>
      </c>
      <c r="H304" s="7" t="s">
        <v>1545</v>
      </c>
      <c r="I304" s="7" t="s">
        <v>1546</v>
      </c>
      <c r="J304" s="8">
        <f>73424174941</f>
      </c>
      <c r="K304" s="9"/>
      <c r="L304" s="7" t="s">
        <v>42</v>
      </c>
      <c r="M304" s="8">
        <v>91</v>
      </c>
      <c r="N304" s="7" t="s">
        <v>1442</v>
      </c>
      <c r="O304" s="7" t="s">
        <v>96</v>
      </c>
      <c r="P304" s="7" t="s">
        <v>1547</v>
      </c>
      <c r="Q304" s="8" t="s">
        <v>1548</v>
      </c>
      <c r="R304" s="7" t="s">
        <v>33</v>
      </c>
      <c r="S304" s="7" t="s">
        <v>34</v>
      </c>
      <c r="T304" s="10">
        <v>0</v>
      </c>
      <c r="U304" s="7"/>
      <c r="V304" s="10">
        <v>0</v>
      </c>
      <c r="W304" s="7" t="s">
        <v>48</v>
      </c>
      <c r="X304" s="10" t="s">
        <v>36</v>
      </c>
      <c r="Y304" s="7" t="s">
        <v>37</v>
      </c>
    </row>
    <row x14ac:dyDescent="0.25" r="305" customHeight="1" ht="18.75">
      <c r="A305" s="11">
        <v>74021321</v>
      </c>
      <c r="B305" s="12">
        <v>1005</v>
      </c>
      <c r="C305" s="13" t="s">
        <v>1549</v>
      </c>
      <c r="D305" s="13" t="s">
        <v>1550</v>
      </c>
      <c r="E305" s="14">
        <v>74021321</v>
      </c>
      <c r="F305" s="14">
        <v>1005</v>
      </c>
      <c r="G305" s="13" t="s">
        <v>27</v>
      </c>
      <c r="H305" s="13" t="s">
        <v>1551</v>
      </c>
      <c r="I305" s="13" t="s">
        <v>1552</v>
      </c>
      <c r="J305" s="14">
        <f>74951980901</f>
      </c>
      <c r="K305" s="9"/>
      <c r="L305" s="13" t="s">
        <v>80</v>
      </c>
      <c r="M305" s="14">
        <v>144</v>
      </c>
      <c r="N305" s="13" t="s">
        <v>1553</v>
      </c>
      <c r="O305" s="13" t="s">
        <v>32</v>
      </c>
      <c r="P305" s="13" t="s">
        <v>32</v>
      </c>
      <c r="Q305" s="14" t="s">
        <v>58</v>
      </c>
      <c r="R305" s="13" t="s">
        <v>33</v>
      </c>
      <c r="S305" s="13" t="s">
        <v>34</v>
      </c>
      <c r="T305" s="15">
        <v>0</v>
      </c>
      <c r="U305" s="13"/>
      <c r="V305" s="15">
        <v>0</v>
      </c>
      <c r="W305" s="13" t="s">
        <v>48</v>
      </c>
      <c r="X305" s="15" t="s">
        <v>36</v>
      </c>
      <c r="Y305" s="13" t="s">
        <v>37</v>
      </c>
    </row>
    <row x14ac:dyDescent="0.25" r="306" customHeight="1" ht="18.75">
      <c r="A306" s="5">
        <v>74021325</v>
      </c>
      <c r="B306" s="6">
        <v>1009</v>
      </c>
      <c r="C306" s="7" t="s">
        <v>1554</v>
      </c>
      <c r="D306" s="7" t="s">
        <v>1555</v>
      </c>
      <c r="E306" s="8">
        <v>74021325</v>
      </c>
      <c r="F306" s="8">
        <v>1009</v>
      </c>
      <c r="G306" s="7" t="s">
        <v>27</v>
      </c>
      <c r="H306" s="7" t="s">
        <v>1556</v>
      </c>
      <c r="I306" s="7" t="s">
        <v>1557</v>
      </c>
      <c r="J306" s="8">
        <f>79211897015</f>
      </c>
      <c r="K306" s="9"/>
      <c r="L306" s="7" t="s">
        <v>54</v>
      </c>
      <c r="M306" s="8">
        <v>188</v>
      </c>
      <c r="N306" s="7" t="s">
        <v>55</v>
      </c>
      <c r="O306" s="7" t="s">
        <v>56</v>
      </c>
      <c r="P306" s="7" t="s">
        <v>57</v>
      </c>
      <c r="Q306" s="8" t="s">
        <v>58</v>
      </c>
      <c r="R306" s="7" t="s">
        <v>33</v>
      </c>
      <c r="S306" s="7" t="s">
        <v>34</v>
      </c>
      <c r="T306" s="10">
        <v>0</v>
      </c>
      <c r="U306" s="7"/>
      <c r="V306" s="10">
        <v>0</v>
      </c>
      <c r="W306" s="7" t="s">
        <v>48</v>
      </c>
      <c r="X306" s="10" t="s">
        <v>36</v>
      </c>
      <c r="Y306" s="7" t="s">
        <v>37</v>
      </c>
    </row>
    <row x14ac:dyDescent="0.25" r="307" customHeight="1" ht="18.75">
      <c r="A307" s="11">
        <v>74021327</v>
      </c>
      <c r="B307" s="12">
        <v>1011</v>
      </c>
      <c r="C307" s="13" t="s">
        <v>1558</v>
      </c>
      <c r="D307" s="13" t="s">
        <v>1559</v>
      </c>
      <c r="E307" s="14">
        <v>74021327</v>
      </c>
      <c r="F307" s="14">
        <v>1011</v>
      </c>
      <c r="G307" s="13" t="s">
        <v>27</v>
      </c>
      <c r="H307" s="13" t="s">
        <v>1560</v>
      </c>
      <c r="I307" s="13" t="s">
        <v>1561</v>
      </c>
      <c r="J307" s="14">
        <f>74995860565</f>
      </c>
      <c r="K307" s="9"/>
      <c r="L307" s="13" t="s">
        <v>266</v>
      </c>
      <c r="M307" s="14">
        <v>146</v>
      </c>
      <c r="N307" s="13" t="s">
        <v>1562</v>
      </c>
      <c r="O307" s="13" t="s">
        <v>32</v>
      </c>
      <c r="P307" s="13" t="s">
        <v>32</v>
      </c>
      <c r="Q307" s="14" t="s">
        <v>1563</v>
      </c>
      <c r="R307" s="13" t="s">
        <v>33</v>
      </c>
      <c r="S307" s="13" t="s">
        <v>34</v>
      </c>
      <c r="T307" s="15">
        <v>0</v>
      </c>
      <c r="U307" s="13"/>
      <c r="V307" s="15">
        <v>0</v>
      </c>
      <c r="W307" s="13" t="s">
        <v>48</v>
      </c>
      <c r="X307" s="15" t="s">
        <v>36</v>
      </c>
      <c r="Y307" s="13" t="s">
        <v>37</v>
      </c>
    </row>
    <row x14ac:dyDescent="0.25" r="308" customHeight="1" ht="18.75">
      <c r="A308" s="5">
        <v>74021329</v>
      </c>
      <c r="B308" s="6">
        <v>1013</v>
      </c>
      <c r="C308" s="7" t="s">
        <v>1564</v>
      </c>
      <c r="D308" s="7" t="s">
        <v>1565</v>
      </c>
      <c r="E308" s="8">
        <v>74021329</v>
      </c>
      <c r="F308" s="8">
        <v>1013</v>
      </c>
      <c r="G308" s="7" t="s">
        <v>27</v>
      </c>
      <c r="H308" s="7" t="s">
        <v>1566</v>
      </c>
      <c r="I308" s="7" t="s">
        <v>1567</v>
      </c>
      <c r="J308" s="8">
        <f>74959001028</f>
      </c>
      <c r="K308" s="9"/>
      <c r="L308" s="7" t="s">
        <v>266</v>
      </c>
      <c r="M308" s="8">
        <v>227</v>
      </c>
      <c r="N308" s="7" t="s">
        <v>395</v>
      </c>
      <c r="O308" s="7" t="s">
        <v>32</v>
      </c>
      <c r="P308" s="7" t="s">
        <v>32</v>
      </c>
      <c r="Q308" s="8" t="s">
        <v>1568</v>
      </c>
      <c r="R308" s="7" t="s">
        <v>33</v>
      </c>
      <c r="S308" s="7" t="s">
        <v>34</v>
      </c>
      <c r="T308" s="10">
        <v>0</v>
      </c>
      <c r="U308" s="7"/>
      <c r="V308" s="10">
        <v>0</v>
      </c>
      <c r="W308" s="7" t="s">
        <v>48</v>
      </c>
      <c r="X308" s="10" t="s">
        <v>36</v>
      </c>
      <c r="Y308" s="7" t="s">
        <v>37</v>
      </c>
    </row>
    <row x14ac:dyDescent="0.25" r="309" customHeight="1" ht="18.75">
      <c r="A309" s="11">
        <v>74021333</v>
      </c>
      <c r="B309" s="12">
        <v>1017</v>
      </c>
      <c r="C309" s="13" t="s">
        <v>1569</v>
      </c>
      <c r="D309" s="13" t="s">
        <v>1570</v>
      </c>
      <c r="E309" s="14">
        <v>74021333</v>
      </c>
      <c r="F309" s="14">
        <v>1017</v>
      </c>
      <c r="G309" s="13" t="s">
        <v>27</v>
      </c>
      <c r="H309" s="13" t="s">
        <v>1571</v>
      </c>
      <c r="I309" s="13" t="s">
        <v>1572</v>
      </c>
      <c r="J309" s="14">
        <f>79312578395</f>
      </c>
      <c r="K309" s="9"/>
      <c r="L309" s="13" t="s">
        <v>54</v>
      </c>
      <c r="M309" s="14">
        <v>188</v>
      </c>
      <c r="N309" s="13" t="s">
        <v>55</v>
      </c>
      <c r="O309" s="13" t="s">
        <v>56</v>
      </c>
      <c r="P309" s="13" t="s">
        <v>1573</v>
      </c>
      <c r="Q309" s="14" t="s">
        <v>182</v>
      </c>
      <c r="R309" s="13" t="s">
        <v>33</v>
      </c>
      <c r="S309" s="13" t="s">
        <v>34</v>
      </c>
      <c r="T309" s="15">
        <v>0</v>
      </c>
      <c r="U309" s="13"/>
      <c r="V309" s="15">
        <v>0</v>
      </c>
      <c r="W309" s="13" t="s">
        <v>48</v>
      </c>
      <c r="X309" s="15" t="s">
        <v>36</v>
      </c>
      <c r="Y309" s="13" t="s">
        <v>126</v>
      </c>
    </row>
    <row x14ac:dyDescent="0.25" r="310" customHeight="1" ht="18.75">
      <c r="A310" s="5">
        <v>74021334</v>
      </c>
      <c r="B310" s="6">
        <v>1018</v>
      </c>
      <c r="C310" s="7" t="s">
        <v>1574</v>
      </c>
      <c r="D310" s="7" t="s">
        <v>1575</v>
      </c>
      <c r="E310" s="8">
        <v>74021334</v>
      </c>
      <c r="F310" s="8">
        <v>1018</v>
      </c>
      <c r="G310" s="7" t="s">
        <v>27</v>
      </c>
      <c r="H310" s="7" t="s">
        <v>1576</v>
      </c>
      <c r="I310" s="7" t="s">
        <v>1577</v>
      </c>
      <c r="J310" s="8">
        <f>79385286427</f>
      </c>
      <c r="K310" s="9"/>
      <c r="L310" s="7" t="s">
        <v>54</v>
      </c>
      <c r="M310" s="8">
        <v>188</v>
      </c>
      <c r="N310" s="7" t="s">
        <v>55</v>
      </c>
      <c r="O310" s="7" t="s">
        <v>119</v>
      </c>
      <c r="P310" s="7" t="s">
        <v>1045</v>
      </c>
      <c r="Q310" s="8" t="s">
        <v>58</v>
      </c>
      <c r="R310" s="7" t="s">
        <v>33</v>
      </c>
      <c r="S310" s="7" t="s">
        <v>34</v>
      </c>
      <c r="T310" s="10">
        <v>0</v>
      </c>
      <c r="U310" s="7"/>
      <c r="V310" s="10">
        <v>0</v>
      </c>
      <c r="W310" s="7" t="s">
        <v>48</v>
      </c>
      <c r="X310" s="10" t="s">
        <v>36</v>
      </c>
      <c r="Y310" s="7" t="s">
        <v>37</v>
      </c>
    </row>
    <row x14ac:dyDescent="0.25" r="311" customHeight="1" ht="18.75">
      <c r="A311" s="11">
        <v>74021335</v>
      </c>
      <c r="B311" s="12">
        <v>1019</v>
      </c>
      <c r="C311" s="13" t="s">
        <v>1578</v>
      </c>
      <c r="D311" s="13" t="s">
        <v>1579</v>
      </c>
      <c r="E311" s="14">
        <v>74021335</v>
      </c>
      <c r="F311" s="14">
        <v>1019</v>
      </c>
      <c r="G311" s="13" t="s">
        <v>27</v>
      </c>
      <c r="H311" s="13" t="s">
        <v>1580</v>
      </c>
      <c r="I311" s="13" t="s">
        <v>1581</v>
      </c>
      <c r="J311" s="14">
        <f>79312584660</f>
      </c>
      <c r="K311" s="9"/>
      <c r="L311" s="13" t="s">
        <v>54</v>
      </c>
      <c r="M311" s="14">
        <v>188</v>
      </c>
      <c r="N311" s="13" t="s">
        <v>55</v>
      </c>
      <c r="O311" s="13" t="s">
        <v>56</v>
      </c>
      <c r="P311" s="13" t="s">
        <v>1582</v>
      </c>
      <c r="Q311" s="14" t="s">
        <v>112</v>
      </c>
      <c r="R311" s="13" t="s">
        <v>33</v>
      </c>
      <c r="S311" s="13" t="s">
        <v>34</v>
      </c>
      <c r="T311" s="15">
        <v>0</v>
      </c>
      <c r="U311" s="13"/>
      <c r="V311" s="15">
        <v>0</v>
      </c>
      <c r="W311" s="13" t="s">
        <v>48</v>
      </c>
      <c r="X311" s="15" t="s">
        <v>65</v>
      </c>
      <c r="Y311" s="13" t="s">
        <v>84</v>
      </c>
    </row>
    <row x14ac:dyDescent="0.25" r="312" customHeight="1" ht="18.75">
      <c r="A312" s="5">
        <v>74021336</v>
      </c>
      <c r="B312" s="6">
        <v>1020</v>
      </c>
      <c r="C312" s="7" t="s">
        <v>1583</v>
      </c>
      <c r="D312" s="7" t="s">
        <v>1584</v>
      </c>
      <c r="E312" s="8">
        <v>74021336</v>
      </c>
      <c r="F312" s="8">
        <v>1020</v>
      </c>
      <c r="G312" s="7" t="s">
        <v>27</v>
      </c>
      <c r="H312" s="7" t="s">
        <v>1585</v>
      </c>
      <c r="I312" s="7" t="s">
        <v>1586</v>
      </c>
      <c r="J312" s="8">
        <f>79388669151</f>
      </c>
      <c r="K312" s="9"/>
      <c r="L312" s="7" t="s">
        <v>54</v>
      </c>
      <c r="M312" s="8">
        <v>188</v>
      </c>
      <c r="N312" s="7" t="s">
        <v>55</v>
      </c>
      <c r="O312" s="7" t="s">
        <v>119</v>
      </c>
      <c r="P312" s="7" t="s">
        <v>1045</v>
      </c>
      <c r="Q312" s="8" t="s">
        <v>58</v>
      </c>
      <c r="R312" s="7" t="s">
        <v>33</v>
      </c>
      <c r="S312" s="7" t="s">
        <v>34</v>
      </c>
      <c r="T312" s="10">
        <v>0</v>
      </c>
      <c r="U312" s="7"/>
      <c r="V312" s="10">
        <v>0</v>
      </c>
      <c r="W312" s="7" t="s">
        <v>48</v>
      </c>
      <c r="X312" s="10" t="s">
        <v>36</v>
      </c>
      <c r="Y312" s="7" t="s">
        <v>84</v>
      </c>
    </row>
    <row x14ac:dyDescent="0.25" r="313" customHeight="1" ht="18.75">
      <c r="A313" s="11">
        <v>74021337</v>
      </c>
      <c r="B313" s="12">
        <v>1021</v>
      </c>
      <c r="C313" s="13" t="s">
        <v>1587</v>
      </c>
      <c r="D313" s="13" t="s">
        <v>1588</v>
      </c>
      <c r="E313" s="14">
        <v>74021337</v>
      </c>
      <c r="F313" s="14">
        <v>1021</v>
      </c>
      <c r="G313" s="13" t="s">
        <v>27</v>
      </c>
      <c r="H313" s="13" t="s">
        <v>1589</v>
      </c>
      <c r="I313" s="13" t="s">
        <v>1590</v>
      </c>
      <c r="J313" s="14">
        <f>74951063394</f>
      </c>
      <c r="K313" s="9"/>
      <c r="L313" s="13" t="s">
        <v>1334</v>
      </c>
      <c r="M313" s="14">
        <v>123</v>
      </c>
      <c r="N313" s="13" t="s">
        <v>1335</v>
      </c>
      <c r="O313" s="13" t="s">
        <v>32</v>
      </c>
      <c r="P313" s="13" t="s">
        <v>32</v>
      </c>
      <c r="Q313" s="14" t="s">
        <v>58</v>
      </c>
      <c r="R313" s="13" t="s">
        <v>33</v>
      </c>
      <c r="S313" s="13" t="s">
        <v>34</v>
      </c>
      <c r="T313" s="15">
        <v>0</v>
      </c>
      <c r="U313" s="13"/>
      <c r="V313" s="15">
        <v>0</v>
      </c>
      <c r="W313" s="13" t="s">
        <v>48</v>
      </c>
      <c r="X313" s="15" t="s">
        <v>36</v>
      </c>
      <c r="Y313" s="13" t="s">
        <v>37</v>
      </c>
    </row>
    <row x14ac:dyDescent="0.25" r="314" customHeight="1" ht="18.75">
      <c r="A314" s="5">
        <v>74021338</v>
      </c>
      <c r="B314" s="6">
        <v>1022</v>
      </c>
      <c r="C314" s="7" t="s">
        <v>1591</v>
      </c>
      <c r="D314" s="7" t="s">
        <v>1592</v>
      </c>
      <c r="E314" s="8">
        <v>74021338</v>
      </c>
      <c r="F314" s="8">
        <v>1022</v>
      </c>
      <c r="G314" s="7" t="s">
        <v>27</v>
      </c>
      <c r="H314" s="7" t="s">
        <v>1593</v>
      </c>
      <c r="I314" s="7" t="s">
        <v>1594</v>
      </c>
      <c r="J314" s="8">
        <f>74993807689</f>
      </c>
      <c r="K314" s="9"/>
      <c r="L314" s="7" t="s">
        <v>131</v>
      </c>
      <c r="M314" s="8">
        <v>147</v>
      </c>
      <c r="N314" s="7" t="s">
        <v>1595</v>
      </c>
      <c r="O314" s="7" t="s">
        <v>32</v>
      </c>
      <c r="P314" s="7" t="s">
        <v>32</v>
      </c>
      <c r="Q314" s="8" t="s">
        <v>1596</v>
      </c>
      <c r="R314" s="7" t="s">
        <v>33</v>
      </c>
      <c r="S314" s="7" t="s">
        <v>34</v>
      </c>
      <c r="T314" s="10">
        <v>0</v>
      </c>
      <c r="U314" s="7"/>
      <c r="V314" s="10">
        <v>0</v>
      </c>
      <c r="W314" s="7" t="s">
        <v>48</v>
      </c>
      <c r="X314" s="10" t="s">
        <v>36</v>
      </c>
      <c r="Y314" s="7" t="s">
        <v>59</v>
      </c>
    </row>
    <row x14ac:dyDescent="0.25" r="315" customHeight="1" ht="18.75">
      <c r="A315" s="11">
        <v>74021341</v>
      </c>
      <c r="B315" s="12">
        <v>1025</v>
      </c>
      <c r="C315" s="13" t="s">
        <v>1597</v>
      </c>
      <c r="D315" s="13" t="s">
        <v>1598</v>
      </c>
      <c r="E315" s="14">
        <v>74021341</v>
      </c>
      <c r="F315" s="14">
        <v>1025</v>
      </c>
      <c r="G315" s="13" t="s">
        <v>27</v>
      </c>
      <c r="H315" s="13" t="s">
        <v>1599</v>
      </c>
      <c r="I315" s="13" t="s">
        <v>1600</v>
      </c>
      <c r="J315" s="14">
        <f>73422060034</f>
      </c>
      <c r="K315" s="9"/>
      <c r="L315" s="13" t="s">
        <v>42</v>
      </c>
      <c r="M315" s="14">
        <v>91</v>
      </c>
      <c r="N315" s="13" t="s">
        <v>1442</v>
      </c>
      <c r="O315" s="13" t="s">
        <v>96</v>
      </c>
      <c r="P315" s="13" t="s">
        <v>978</v>
      </c>
      <c r="Q315" s="14" t="s">
        <v>1601</v>
      </c>
      <c r="R315" s="13" t="s">
        <v>33</v>
      </c>
      <c r="S315" s="13" t="s">
        <v>34</v>
      </c>
      <c r="T315" s="15">
        <v>0</v>
      </c>
      <c r="U315" s="13"/>
      <c r="V315" s="15">
        <v>0</v>
      </c>
      <c r="W315" s="13" t="s">
        <v>48</v>
      </c>
      <c r="X315" s="15" t="s">
        <v>36</v>
      </c>
      <c r="Y315" s="13" t="s">
        <v>37</v>
      </c>
    </row>
    <row x14ac:dyDescent="0.25" r="316" customHeight="1" ht="18.75">
      <c r="A316" s="5">
        <v>74021343</v>
      </c>
      <c r="B316" s="6">
        <v>1027</v>
      </c>
      <c r="C316" s="7" t="s">
        <v>1602</v>
      </c>
      <c r="D316" s="7" t="s">
        <v>1603</v>
      </c>
      <c r="E316" s="8">
        <v>74021343</v>
      </c>
      <c r="F316" s="8">
        <v>1027</v>
      </c>
      <c r="G316" s="7" t="s">
        <v>27</v>
      </c>
      <c r="H316" s="7" t="s">
        <v>1604</v>
      </c>
      <c r="I316" s="7" t="s">
        <v>1605</v>
      </c>
      <c r="J316" s="8">
        <f>73842452285</f>
      </c>
      <c r="K316" s="9"/>
      <c r="L316" s="7" t="s">
        <v>415</v>
      </c>
      <c r="M316" s="8">
        <v>157</v>
      </c>
      <c r="N316" s="7" t="s">
        <v>416</v>
      </c>
      <c r="O316" s="7" t="s">
        <v>73</v>
      </c>
      <c r="P316" s="7" t="s">
        <v>417</v>
      </c>
      <c r="Q316" s="8" t="s">
        <v>1606</v>
      </c>
      <c r="R316" s="7" t="s">
        <v>33</v>
      </c>
      <c r="S316" s="7" t="s">
        <v>34</v>
      </c>
      <c r="T316" s="10">
        <v>0</v>
      </c>
      <c r="U316" s="7"/>
      <c r="V316" s="10">
        <v>0</v>
      </c>
      <c r="W316" s="7" t="s">
        <v>48</v>
      </c>
      <c r="X316" s="10" t="s">
        <v>36</v>
      </c>
      <c r="Y316" s="7" t="s">
        <v>59</v>
      </c>
    </row>
    <row x14ac:dyDescent="0.25" r="317" customHeight="1" ht="18.75">
      <c r="A317" s="11">
        <v>74021345</v>
      </c>
      <c r="B317" s="12">
        <v>1029</v>
      </c>
      <c r="C317" s="13" t="s">
        <v>1607</v>
      </c>
      <c r="D317" s="13" t="s">
        <v>1608</v>
      </c>
      <c r="E317" s="14">
        <v>74021345</v>
      </c>
      <c r="F317" s="14">
        <v>1029</v>
      </c>
      <c r="G317" s="13" t="s">
        <v>27</v>
      </c>
      <c r="H317" s="13" t="s">
        <v>1609</v>
      </c>
      <c r="I317" s="13" t="s">
        <v>1610</v>
      </c>
      <c r="J317" s="14">
        <f>79388651395</f>
      </c>
      <c r="K317" s="9"/>
      <c r="L317" s="13" t="s">
        <v>54</v>
      </c>
      <c r="M317" s="14">
        <v>188</v>
      </c>
      <c r="N317" s="13" t="s">
        <v>55</v>
      </c>
      <c r="O317" s="13" t="s">
        <v>119</v>
      </c>
      <c r="P317" s="13" t="s">
        <v>1045</v>
      </c>
      <c r="Q317" s="14" t="s">
        <v>58</v>
      </c>
      <c r="R317" s="13" t="s">
        <v>33</v>
      </c>
      <c r="S317" s="13" t="s">
        <v>34</v>
      </c>
      <c r="T317" s="15">
        <v>0</v>
      </c>
      <c r="U317" s="13"/>
      <c r="V317" s="15">
        <v>0</v>
      </c>
      <c r="W317" s="13" t="s">
        <v>48</v>
      </c>
      <c r="X317" s="15" t="s">
        <v>36</v>
      </c>
      <c r="Y317" s="13" t="s">
        <v>37</v>
      </c>
    </row>
    <row x14ac:dyDescent="0.25" r="318" customHeight="1" ht="18.75">
      <c r="A318" s="5">
        <v>74021346</v>
      </c>
      <c r="B318" s="6">
        <v>1030</v>
      </c>
      <c r="C318" s="7" t="s">
        <v>1611</v>
      </c>
      <c r="D318" s="7" t="s">
        <v>1612</v>
      </c>
      <c r="E318" s="8">
        <v>74021346</v>
      </c>
      <c r="F318" s="8">
        <v>1030</v>
      </c>
      <c r="G318" s="7" t="s">
        <v>27</v>
      </c>
      <c r="H318" s="7" t="s">
        <v>1613</v>
      </c>
      <c r="I318" s="7" t="s">
        <v>1614</v>
      </c>
      <c r="J318" s="8">
        <f>73842452239</f>
      </c>
      <c r="K318" s="9"/>
      <c r="L318" s="7" t="s">
        <v>415</v>
      </c>
      <c r="M318" s="8">
        <v>157</v>
      </c>
      <c r="N318" s="7" t="s">
        <v>416</v>
      </c>
      <c r="O318" s="7" t="s">
        <v>73</v>
      </c>
      <c r="P318" s="7" t="s">
        <v>417</v>
      </c>
      <c r="Q318" s="8" t="s">
        <v>1612</v>
      </c>
      <c r="R318" s="7" t="s">
        <v>33</v>
      </c>
      <c r="S318" s="7" t="s">
        <v>34</v>
      </c>
      <c r="T318" s="10">
        <v>0</v>
      </c>
      <c r="U318" s="7"/>
      <c r="V318" s="10">
        <v>0</v>
      </c>
      <c r="W318" s="7" t="s">
        <v>48</v>
      </c>
      <c r="X318" s="10" t="s">
        <v>36</v>
      </c>
      <c r="Y318" s="7" t="s">
        <v>37</v>
      </c>
    </row>
    <row x14ac:dyDescent="0.25" r="319" customHeight="1" ht="18.75">
      <c r="A319" s="11">
        <v>74021347</v>
      </c>
      <c r="B319" s="12">
        <v>1031</v>
      </c>
      <c r="C319" s="13" t="s">
        <v>1615</v>
      </c>
      <c r="D319" s="13" t="s">
        <v>1616</v>
      </c>
      <c r="E319" s="14">
        <v>74021347</v>
      </c>
      <c r="F319" s="14">
        <v>1031</v>
      </c>
      <c r="G319" s="13" t="s">
        <v>27</v>
      </c>
      <c r="H319" s="13" t="s">
        <v>1617</v>
      </c>
      <c r="I319" s="13" t="s">
        <v>1618</v>
      </c>
      <c r="J319" s="14">
        <f>79636305015</f>
      </c>
      <c r="K319" s="9"/>
      <c r="L319" s="13" t="s">
        <v>30</v>
      </c>
      <c r="M319" s="14">
        <v>56</v>
      </c>
      <c r="N319" s="13" t="s">
        <v>31</v>
      </c>
      <c r="O319" s="13" t="s">
        <v>32</v>
      </c>
      <c r="P319" s="13" t="s">
        <v>32</v>
      </c>
      <c r="Q319" s="14" t="s">
        <v>58</v>
      </c>
      <c r="R319" s="13" t="s">
        <v>33</v>
      </c>
      <c r="S319" s="13" t="s">
        <v>34</v>
      </c>
      <c r="T319" s="15">
        <v>0</v>
      </c>
      <c r="U319" s="13"/>
      <c r="V319" s="15">
        <v>0</v>
      </c>
      <c r="W319" s="13" t="s">
        <v>48</v>
      </c>
      <c r="X319" s="15" t="s">
        <v>36</v>
      </c>
      <c r="Y319" s="13" t="s">
        <v>37</v>
      </c>
    </row>
    <row x14ac:dyDescent="0.25" r="320" customHeight="1" ht="18.75">
      <c r="A320" s="5">
        <v>74021350</v>
      </c>
      <c r="B320" s="6">
        <v>1032</v>
      </c>
      <c r="C320" s="7" t="s">
        <v>1619</v>
      </c>
      <c r="D320" s="7" t="s">
        <v>1620</v>
      </c>
      <c r="E320" s="8">
        <v>74021350</v>
      </c>
      <c r="F320" s="8">
        <v>1032</v>
      </c>
      <c r="G320" s="7" t="s">
        <v>27</v>
      </c>
      <c r="H320" s="7" t="s">
        <v>1621</v>
      </c>
      <c r="I320" s="7" t="s">
        <v>1622</v>
      </c>
      <c r="J320" s="8">
        <f>79636305451</f>
      </c>
      <c r="K320" s="9"/>
      <c r="L320" s="7" t="s">
        <v>30</v>
      </c>
      <c r="M320" s="8">
        <v>56</v>
      </c>
      <c r="N320" s="7" t="s">
        <v>31</v>
      </c>
      <c r="O320" s="7" t="s">
        <v>32</v>
      </c>
      <c r="P320" s="7" t="s">
        <v>32</v>
      </c>
      <c r="Q320" s="8" t="s">
        <v>58</v>
      </c>
      <c r="R320" s="7" t="s">
        <v>33</v>
      </c>
      <c r="S320" s="7" t="s">
        <v>34</v>
      </c>
      <c r="T320" s="10">
        <v>0</v>
      </c>
      <c r="U320" s="7"/>
      <c r="V320" s="10">
        <v>0</v>
      </c>
      <c r="W320" s="7" t="s">
        <v>48</v>
      </c>
      <c r="X320" s="10" t="s">
        <v>36</v>
      </c>
      <c r="Y320" s="7" t="s">
        <v>37</v>
      </c>
    </row>
    <row x14ac:dyDescent="0.25" r="321" customHeight="1" ht="18.75">
      <c r="A321" s="11">
        <v>74221348</v>
      </c>
      <c r="B321" s="12">
        <v>1033</v>
      </c>
      <c r="C321" s="13" t="s">
        <v>1623</v>
      </c>
      <c r="D321" s="13" t="s">
        <v>1624</v>
      </c>
      <c r="E321" s="14">
        <v>74321348</v>
      </c>
      <c r="F321" s="14">
        <v>1033</v>
      </c>
      <c r="G321" s="13" t="s">
        <v>27</v>
      </c>
      <c r="H321" s="13" t="s">
        <v>1625</v>
      </c>
      <c r="I321" s="13" t="s">
        <v>1626</v>
      </c>
      <c r="J321" s="14">
        <f>74952408424</f>
      </c>
      <c r="K321" s="14">
        <v>6439</v>
      </c>
      <c r="L321" s="13" t="s">
        <v>1276</v>
      </c>
      <c r="M321" s="14">
        <v>105</v>
      </c>
      <c r="N321" s="13" t="s">
        <v>1277</v>
      </c>
      <c r="O321" s="13" t="s">
        <v>82</v>
      </c>
      <c r="P321" s="13" t="s">
        <v>82</v>
      </c>
      <c r="Q321" s="14" t="s">
        <v>58</v>
      </c>
      <c r="R321" s="13" t="s">
        <v>33</v>
      </c>
      <c r="S321" s="13" t="s">
        <v>47</v>
      </c>
      <c r="T321" s="15">
        <v>2</v>
      </c>
      <c r="U321" s="13"/>
      <c r="V321" s="15">
        <v>0</v>
      </c>
      <c r="W321" s="13" t="s">
        <v>48</v>
      </c>
      <c r="X321" s="15" t="s">
        <v>36</v>
      </c>
      <c r="Y321" s="13" t="s">
        <v>126</v>
      </c>
    </row>
    <row x14ac:dyDescent="0.25" r="322" customHeight="1" ht="18.75">
      <c r="A322" s="5">
        <v>74021351</v>
      </c>
      <c r="B322" s="6">
        <v>1035</v>
      </c>
      <c r="C322" s="7" t="s">
        <v>1627</v>
      </c>
      <c r="D322" s="7" t="s">
        <v>1628</v>
      </c>
      <c r="E322" s="8">
        <v>74021351</v>
      </c>
      <c r="F322" s="8">
        <v>1035</v>
      </c>
      <c r="G322" s="7" t="s">
        <v>27</v>
      </c>
      <c r="H322" s="7" t="s">
        <v>1629</v>
      </c>
      <c r="I322" s="7" t="s">
        <v>1630</v>
      </c>
      <c r="J322" s="8">
        <f>79636304587</f>
      </c>
      <c r="K322" s="9"/>
      <c r="L322" s="7" t="s">
        <v>30</v>
      </c>
      <c r="M322" s="8">
        <v>56</v>
      </c>
      <c r="N322" s="7" t="s">
        <v>31</v>
      </c>
      <c r="O322" s="7" t="s">
        <v>232</v>
      </c>
      <c r="P322" s="7" t="s">
        <v>1260</v>
      </c>
      <c r="Q322" s="8" t="s">
        <v>1628</v>
      </c>
      <c r="R322" s="7" t="s">
        <v>33</v>
      </c>
      <c r="S322" s="7" t="s">
        <v>47</v>
      </c>
      <c r="T322" s="10">
        <v>1</v>
      </c>
      <c r="U322" s="7"/>
      <c r="V322" s="10">
        <v>0</v>
      </c>
      <c r="W322" s="7" t="s">
        <v>48</v>
      </c>
      <c r="X322" s="10" t="s">
        <v>65</v>
      </c>
      <c r="Y322" s="7" t="s">
        <v>37</v>
      </c>
    </row>
    <row x14ac:dyDescent="0.25" r="323" customHeight="1" ht="18.75">
      <c r="A323" s="11">
        <v>74021352</v>
      </c>
      <c r="B323" s="12">
        <v>1036</v>
      </c>
      <c r="C323" s="13" t="s">
        <v>1631</v>
      </c>
      <c r="D323" s="13" t="s">
        <v>1632</v>
      </c>
      <c r="E323" s="14">
        <v>74021352</v>
      </c>
      <c r="F323" s="14">
        <v>1036</v>
      </c>
      <c r="G323" s="13" t="s">
        <v>27</v>
      </c>
      <c r="H323" s="13" t="s">
        <v>1633</v>
      </c>
      <c r="I323" s="13" t="s">
        <v>1634</v>
      </c>
      <c r="J323" s="14">
        <f>79636302180</f>
      </c>
      <c r="K323" s="9"/>
      <c r="L323" s="13" t="s">
        <v>30</v>
      </c>
      <c r="M323" s="14">
        <v>56</v>
      </c>
      <c r="N323" s="13" t="s">
        <v>31</v>
      </c>
      <c r="O323" s="13" t="s">
        <v>232</v>
      </c>
      <c r="P323" s="13" t="s">
        <v>274</v>
      </c>
      <c r="Q323" s="14" t="s">
        <v>58</v>
      </c>
      <c r="R323" s="13" t="s">
        <v>33</v>
      </c>
      <c r="S323" s="13" t="s">
        <v>34</v>
      </c>
      <c r="T323" s="15">
        <v>0</v>
      </c>
      <c r="U323" s="13"/>
      <c r="V323" s="15">
        <v>0</v>
      </c>
      <c r="W323" s="13" t="s">
        <v>48</v>
      </c>
      <c r="X323" s="15" t="s">
        <v>65</v>
      </c>
      <c r="Y323" s="13" t="s">
        <v>126</v>
      </c>
    </row>
    <row x14ac:dyDescent="0.25" r="324" customHeight="1" ht="18.75">
      <c r="A324" s="5">
        <v>74021353</v>
      </c>
      <c r="B324" s="6">
        <v>1037</v>
      </c>
      <c r="C324" s="7" t="s">
        <v>1635</v>
      </c>
      <c r="D324" s="7" t="s">
        <v>1636</v>
      </c>
      <c r="E324" s="8">
        <v>74021353</v>
      </c>
      <c r="F324" s="8">
        <v>1037</v>
      </c>
      <c r="G324" s="7" t="s">
        <v>27</v>
      </c>
      <c r="H324" s="7" t="s">
        <v>1637</v>
      </c>
      <c r="I324" s="7" t="s">
        <v>1638</v>
      </c>
      <c r="J324" s="8">
        <f>79636308213</f>
      </c>
      <c r="K324" s="9"/>
      <c r="L324" s="7" t="s">
        <v>30</v>
      </c>
      <c r="M324" s="8">
        <v>56</v>
      </c>
      <c r="N324" s="7" t="s">
        <v>31</v>
      </c>
      <c r="O324" s="7" t="s">
        <v>32</v>
      </c>
      <c r="P324" s="7" t="s">
        <v>32</v>
      </c>
      <c r="Q324" s="8" t="s">
        <v>488</v>
      </c>
      <c r="R324" s="7" t="s">
        <v>33</v>
      </c>
      <c r="S324" s="7" t="s">
        <v>34</v>
      </c>
      <c r="T324" s="10">
        <v>0</v>
      </c>
      <c r="U324" s="7"/>
      <c r="V324" s="10">
        <v>0</v>
      </c>
      <c r="W324" s="7" t="s">
        <v>48</v>
      </c>
      <c r="X324" s="10" t="s">
        <v>36</v>
      </c>
      <c r="Y324" s="7" t="s">
        <v>37</v>
      </c>
    </row>
    <row x14ac:dyDescent="0.25" r="325" customHeight="1" ht="18.75">
      <c r="A325" s="11">
        <v>74021358</v>
      </c>
      <c r="B325" s="12">
        <v>1042</v>
      </c>
      <c r="C325" s="13" t="s">
        <v>1639</v>
      </c>
      <c r="D325" s="13" t="s">
        <v>1640</v>
      </c>
      <c r="E325" s="14">
        <v>74021358</v>
      </c>
      <c r="F325" s="14">
        <v>1042</v>
      </c>
      <c r="G325" s="13" t="s">
        <v>27</v>
      </c>
      <c r="H325" s="13" t="s">
        <v>1641</v>
      </c>
      <c r="I325" s="13" t="s">
        <v>1642</v>
      </c>
      <c r="J325" s="14">
        <f>79660131525</f>
      </c>
      <c r="K325" s="9"/>
      <c r="L325" s="13" t="s">
        <v>30</v>
      </c>
      <c r="M325" s="14">
        <v>56</v>
      </c>
      <c r="N325" s="13" t="s">
        <v>31</v>
      </c>
      <c r="O325" s="13" t="s">
        <v>56</v>
      </c>
      <c r="P325" s="13" t="s">
        <v>1643</v>
      </c>
      <c r="Q325" s="14" t="s">
        <v>1644</v>
      </c>
      <c r="R325" s="13" t="s">
        <v>33</v>
      </c>
      <c r="S325" s="13" t="s">
        <v>34</v>
      </c>
      <c r="T325" s="15">
        <v>0</v>
      </c>
      <c r="U325" s="13"/>
      <c r="V325" s="15">
        <v>0</v>
      </c>
      <c r="W325" s="13" t="s">
        <v>48</v>
      </c>
      <c r="X325" s="15" t="s">
        <v>65</v>
      </c>
      <c r="Y325" s="13" t="s">
        <v>37</v>
      </c>
    </row>
    <row x14ac:dyDescent="0.25" r="326" customHeight="1" ht="18.75">
      <c r="A326" s="5">
        <v>74021359</v>
      </c>
      <c r="B326" s="6">
        <v>1043</v>
      </c>
      <c r="C326" s="7" t="s">
        <v>1645</v>
      </c>
      <c r="D326" s="7" t="s">
        <v>1646</v>
      </c>
      <c r="E326" s="8">
        <v>74021359</v>
      </c>
      <c r="F326" s="8">
        <v>1043</v>
      </c>
      <c r="G326" s="7" t="s">
        <v>27</v>
      </c>
      <c r="H326" s="7" t="s">
        <v>1647</v>
      </c>
      <c r="I326" s="7" t="s">
        <v>1648</v>
      </c>
      <c r="J326" s="8">
        <f>79636308219</f>
      </c>
      <c r="K326" s="9"/>
      <c r="L326" s="7" t="s">
        <v>30</v>
      </c>
      <c r="M326" s="8">
        <v>56</v>
      </c>
      <c r="N326" s="7" t="s">
        <v>31</v>
      </c>
      <c r="O326" s="7" t="s">
        <v>32</v>
      </c>
      <c r="P326" s="7" t="s">
        <v>32</v>
      </c>
      <c r="Q326" s="8" t="s">
        <v>58</v>
      </c>
      <c r="R326" s="7" t="s">
        <v>33</v>
      </c>
      <c r="S326" s="7" t="s">
        <v>34</v>
      </c>
      <c r="T326" s="10">
        <v>0</v>
      </c>
      <c r="U326" s="7"/>
      <c r="V326" s="10">
        <v>0</v>
      </c>
      <c r="W326" s="7" t="s">
        <v>48</v>
      </c>
      <c r="X326" s="10" t="s">
        <v>36</v>
      </c>
      <c r="Y326" s="7" t="s">
        <v>59</v>
      </c>
    </row>
    <row x14ac:dyDescent="0.25" r="327" customHeight="1" ht="18.75">
      <c r="A327" s="11">
        <v>74021360</v>
      </c>
      <c r="B327" s="12">
        <v>1044</v>
      </c>
      <c r="C327" s="13" t="s">
        <v>1649</v>
      </c>
      <c r="D327" s="13" t="s">
        <v>1650</v>
      </c>
      <c r="E327" s="14">
        <v>74021360</v>
      </c>
      <c r="F327" s="14">
        <v>1044</v>
      </c>
      <c r="G327" s="13" t="s">
        <v>27</v>
      </c>
      <c r="H327" s="13" t="s">
        <v>1651</v>
      </c>
      <c r="I327" s="13" t="s">
        <v>1652</v>
      </c>
      <c r="J327" s="14">
        <f>79636301058</f>
      </c>
      <c r="K327" s="9"/>
      <c r="L327" s="13" t="s">
        <v>30</v>
      </c>
      <c r="M327" s="14">
        <v>56</v>
      </c>
      <c r="N327" s="13" t="s">
        <v>31</v>
      </c>
      <c r="O327" s="13" t="s">
        <v>44</v>
      </c>
      <c r="P327" s="13" t="s">
        <v>1653</v>
      </c>
      <c r="Q327" s="14" t="s">
        <v>1654</v>
      </c>
      <c r="R327" s="13" t="s">
        <v>33</v>
      </c>
      <c r="S327" s="13" t="s">
        <v>34</v>
      </c>
      <c r="T327" s="15">
        <v>0</v>
      </c>
      <c r="U327" s="13"/>
      <c r="V327" s="15">
        <v>0</v>
      </c>
      <c r="W327" s="13" t="s">
        <v>48</v>
      </c>
      <c r="X327" s="15" t="s">
        <v>65</v>
      </c>
      <c r="Y327" s="13" t="s">
        <v>59</v>
      </c>
    </row>
    <row x14ac:dyDescent="0.25" r="328" customHeight="1" ht="18.75">
      <c r="A328" s="5">
        <v>74021361</v>
      </c>
      <c r="B328" s="6">
        <v>1045</v>
      </c>
      <c r="C328" s="7" t="s">
        <v>1655</v>
      </c>
      <c r="D328" s="7" t="s">
        <v>1656</v>
      </c>
      <c r="E328" s="8">
        <v>74021361</v>
      </c>
      <c r="F328" s="8">
        <v>1045</v>
      </c>
      <c r="G328" s="7" t="s">
        <v>27</v>
      </c>
      <c r="H328" s="7" t="s">
        <v>1657</v>
      </c>
      <c r="I328" s="7" t="s">
        <v>1658</v>
      </c>
      <c r="J328" s="8">
        <f>79636300978</f>
      </c>
      <c r="K328" s="9"/>
      <c r="L328" s="7" t="s">
        <v>30</v>
      </c>
      <c r="M328" s="8">
        <v>56</v>
      </c>
      <c r="N328" s="7" t="s">
        <v>31</v>
      </c>
      <c r="O328" s="7" t="s">
        <v>44</v>
      </c>
      <c r="P328" s="7" t="s">
        <v>1653</v>
      </c>
      <c r="Q328" s="8" t="s">
        <v>1659</v>
      </c>
      <c r="R328" s="7" t="s">
        <v>33</v>
      </c>
      <c r="S328" s="7" t="s">
        <v>34</v>
      </c>
      <c r="T328" s="10">
        <v>0</v>
      </c>
      <c r="U328" s="7"/>
      <c r="V328" s="10">
        <v>0</v>
      </c>
      <c r="W328" s="7" t="s">
        <v>48</v>
      </c>
      <c r="X328" s="10" t="s">
        <v>65</v>
      </c>
      <c r="Y328" s="7" t="s">
        <v>37</v>
      </c>
    </row>
    <row x14ac:dyDescent="0.25" r="329" customHeight="1" ht="18.75">
      <c r="A329" s="11">
        <v>74021363</v>
      </c>
      <c r="B329" s="12">
        <v>1047</v>
      </c>
      <c r="C329" s="13" t="s">
        <v>1660</v>
      </c>
      <c r="D329" s="13" t="s">
        <v>1661</v>
      </c>
      <c r="E329" s="14">
        <v>74021363</v>
      </c>
      <c r="F329" s="14">
        <v>1047</v>
      </c>
      <c r="G329" s="13" t="s">
        <v>27</v>
      </c>
      <c r="H329" s="13" t="s">
        <v>1662</v>
      </c>
      <c r="I329" s="13" t="s">
        <v>1663</v>
      </c>
      <c r="J329" s="14">
        <f>79636304578</f>
      </c>
      <c r="K329" s="9"/>
      <c r="L329" s="13" t="s">
        <v>30</v>
      </c>
      <c r="M329" s="14">
        <v>56</v>
      </c>
      <c r="N329" s="13" t="s">
        <v>31</v>
      </c>
      <c r="O329" s="13" t="s">
        <v>32</v>
      </c>
      <c r="P329" s="13" t="s">
        <v>32</v>
      </c>
      <c r="Q329" s="14" t="s">
        <v>58</v>
      </c>
      <c r="R329" s="13" t="s">
        <v>33</v>
      </c>
      <c r="S329" s="13" t="s">
        <v>34</v>
      </c>
      <c r="T329" s="15">
        <v>0</v>
      </c>
      <c r="U329" s="13"/>
      <c r="V329" s="15">
        <v>0</v>
      </c>
      <c r="W329" s="13" t="s">
        <v>48</v>
      </c>
      <c r="X329" s="15" t="s">
        <v>36</v>
      </c>
      <c r="Y329" s="13" t="s">
        <v>37</v>
      </c>
    </row>
    <row x14ac:dyDescent="0.25" r="330" customHeight="1" ht="18.75">
      <c r="A330" s="5">
        <v>74021368</v>
      </c>
      <c r="B330" s="6">
        <v>1052</v>
      </c>
      <c r="C330" s="7" t="s">
        <v>1664</v>
      </c>
      <c r="D330" s="7" t="s">
        <v>1665</v>
      </c>
      <c r="E330" s="8">
        <v>74021368</v>
      </c>
      <c r="F330" s="8">
        <v>1052</v>
      </c>
      <c r="G330" s="7" t="s">
        <v>27</v>
      </c>
      <c r="H330" s="7" t="s">
        <v>1666</v>
      </c>
      <c r="I330" s="7" t="s">
        <v>1667</v>
      </c>
      <c r="J330" s="8">
        <f>74232650460</f>
      </c>
      <c r="K330" s="9"/>
      <c r="L330" s="7" t="s">
        <v>721</v>
      </c>
      <c r="M330" s="8">
        <v>115</v>
      </c>
      <c r="N330" s="7" t="s">
        <v>1376</v>
      </c>
      <c r="O330" s="7" t="s">
        <v>723</v>
      </c>
      <c r="P330" s="7" t="s">
        <v>724</v>
      </c>
      <c r="Q330" s="8" t="s">
        <v>1668</v>
      </c>
      <c r="R330" s="7" t="s">
        <v>33</v>
      </c>
      <c r="S330" s="7" t="s">
        <v>34</v>
      </c>
      <c r="T330" s="10">
        <v>0</v>
      </c>
      <c r="U330" s="7"/>
      <c r="V330" s="10">
        <v>0</v>
      </c>
      <c r="W330" s="7" t="s">
        <v>48</v>
      </c>
      <c r="X330" s="10" t="s">
        <v>65</v>
      </c>
      <c r="Y330" s="7" t="s">
        <v>59</v>
      </c>
    </row>
    <row x14ac:dyDescent="0.25" r="331" customHeight="1" ht="18.75">
      <c r="A331" s="11">
        <v>74021369</v>
      </c>
      <c r="B331" s="12">
        <v>1053</v>
      </c>
      <c r="C331" s="13" t="s">
        <v>1669</v>
      </c>
      <c r="D331" s="13" t="s">
        <v>1670</v>
      </c>
      <c r="E331" s="14">
        <v>74021369</v>
      </c>
      <c r="F331" s="14">
        <v>1053</v>
      </c>
      <c r="G331" s="13" t="s">
        <v>27</v>
      </c>
      <c r="H331" s="13" t="s">
        <v>1671</v>
      </c>
      <c r="I331" s="13" t="s">
        <v>1672</v>
      </c>
      <c r="J331" s="14">
        <f>74212722221</f>
      </c>
      <c r="K331" s="9"/>
      <c r="L331" s="13" t="s">
        <v>721</v>
      </c>
      <c r="M331" s="14">
        <v>116</v>
      </c>
      <c r="N331" s="13" t="s">
        <v>1269</v>
      </c>
      <c r="O331" s="13" t="s">
        <v>723</v>
      </c>
      <c r="P331" s="13" t="s">
        <v>1270</v>
      </c>
      <c r="Q331" s="14" t="s">
        <v>1673</v>
      </c>
      <c r="R331" s="13" t="s">
        <v>33</v>
      </c>
      <c r="S331" s="13" t="s">
        <v>34</v>
      </c>
      <c r="T331" s="15">
        <v>0</v>
      </c>
      <c r="U331" s="13"/>
      <c r="V331" s="15">
        <v>0</v>
      </c>
      <c r="W331" s="13" t="s">
        <v>48</v>
      </c>
      <c r="X331" s="15" t="s">
        <v>36</v>
      </c>
      <c r="Y331" s="13" t="s">
        <v>37</v>
      </c>
    </row>
    <row x14ac:dyDescent="0.25" r="332" customHeight="1" ht="18.75">
      <c r="A332" s="5">
        <v>74021370</v>
      </c>
      <c r="B332" s="6">
        <v>1054</v>
      </c>
      <c r="C332" s="7" t="s">
        <v>1674</v>
      </c>
      <c r="D332" s="7" t="s">
        <v>1675</v>
      </c>
      <c r="E332" s="8">
        <v>74021370</v>
      </c>
      <c r="F332" s="8">
        <v>1054</v>
      </c>
      <c r="G332" s="7" t="s">
        <v>27</v>
      </c>
      <c r="H332" s="7" t="s">
        <v>1676</v>
      </c>
      <c r="I332" s="7" t="s">
        <v>1677</v>
      </c>
      <c r="J332" s="8">
        <f>79269912009</f>
      </c>
      <c r="K332" s="9"/>
      <c r="L332" s="7" t="s">
        <v>544</v>
      </c>
      <c r="M332" s="8">
        <v>74</v>
      </c>
      <c r="N332" s="7" t="s">
        <v>545</v>
      </c>
      <c r="O332" s="7" t="s">
        <v>119</v>
      </c>
      <c r="P332" s="7" t="s">
        <v>1538</v>
      </c>
      <c r="Q332" s="8" t="s">
        <v>58</v>
      </c>
      <c r="R332" s="7" t="s">
        <v>33</v>
      </c>
      <c r="S332" s="7" t="s">
        <v>34</v>
      </c>
      <c r="T332" s="10">
        <v>0</v>
      </c>
      <c r="U332" s="7"/>
      <c r="V332" s="10">
        <v>0</v>
      </c>
      <c r="W332" s="7" t="s">
        <v>48</v>
      </c>
      <c r="X332" s="10" t="s">
        <v>36</v>
      </c>
      <c r="Y332" s="7" t="s">
        <v>59</v>
      </c>
    </row>
    <row x14ac:dyDescent="0.25" r="333" customHeight="1" ht="18.75">
      <c r="A333" s="11">
        <v>74021371</v>
      </c>
      <c r="B333" s="12">
        <v>1055</v>
      </c>
      <c r="C333" s="13" t="s">
        <v>1678</v>
      </c>
      <c r="D333" s="13" t="s">
        <v>1679</v>
      </c>
      <c r="E333" s="14">
        <v>74021371</v>
      </c>
      <c r="F333" s="14">
        <v>1055</v>
      </c>
      <c r="G333" s="13" t="s">
        <v>27</v>
      </c>
      <c r="H333" s="13" t="s">
        <v>1680</v>
      </c>
      <c r="I333" s="13" t="s">
        <v>1681</v>
      </c>
      <c r="J333" s="14">
        <f>79366669702</f>
      </c>
      <c r="K333" s="9"/>
      <c r="L333" s="13" t="s">
        <v>544</v>
      </c>
      <c r="M333" s="14">
        <v>74</v>
      </c>
      <c r="N333" s="13" t="s">
        <v>545</v>
      </c>
      <c r="O333" s="13" t="s">
        <v>232</v>
      </c>
      <c r="P333" s="13" t="s">
        <v>1682</v>
      </c>
      <c r="Q333" s="14" t="s">
        <v>58</v>
      </c>
      <c r="R333" s="13" t="s">
        <v>33</v>
      </c>
      <c r="S333" s="13" t="s">
        <v>34</v>
      </c>
      <c r="T333" s="15">
        <v>0</v>
      </c>
      <c r="U333" s="13"/>
      <c r="V333" s="15">
        <v>0</v>
      </c>
      <c r="W333" s="13" t="s">
        <v>48</v>
      </c>
      <c r="X333" s="15" t="s">
        <v>36</v>
      </c>
      <c r="Y333" s="13" t="s">
        <v>84</v>
      </c>
    </row>
    <row x14ac:dyDescent="0.25" r="334" customHeight="1" ht="18.75">
      <c r="A334" s="5">
        <v>74021374</v>
      </c>
      <c r="B334" s="6">
        <v>1058</v>
      </c>
      <c r="C334" s="7" t="s">
        <v>1683</v>
      </c>
      <c r="D334" s="7" t="s">
        <v>1684</v>
      </c>
      <c r="E334" s="8">
        <v>74021374</v>
      </c>
      <c r="F334" s="8">
        <v>1058</v>
      </c>
      <c r="G334" s="7" t="s">
        <v>27</v>
      </c>
      <c r="H334" s="7" t="s">
        <v>1685</v>
      </c>
      <c r="I334" s="7" t="s">
        <v>1686</v>
      </c>
      <c r="J334" s="7" t="s">
        <v>467</v>
      </c>
      <c r="K334" s="9"/>
      <c r="L334" s="7" t="s">
        <v>54</v>
      </c>
      <c r="M334" s="8">
        <v>188</v>
      </c>
      <c r="N334" s="7" t="s">
        <v>55</v>
      </c>
      <c r="O334" s="7" t="s">
        <v>44</v>
      </c>
      <c r="P334" s="7" t="s">
        <v>292</v>
      </c>
      <c r="Q334" s="8" t="s">
        <v>182</v>
      </c>
      <c r="R334" s="7" t="s">
        <v>33</v>
      </c>
      <c r="S334" s="7" t="s">
        <v>34</v>
      </c>
      <c r="T334" s="10">
        <v>0</v>
      </c>
      <c r="U334" s="7"/>
      <c r="V334" s="10">
        <v>0</v>
      </c>
      <c r="W334" s="7" t="s">
        <v>48</v>
      </c>
      <c r="X334" s="10" t="s">
        <v>65</v>
      </c>
      <c r="Y334" s="7" t="s">
        <v>84</v>
      </c>
    </row>
    <row x14ac:dyDescent="0.25" r="335" customHeight="1" ht="18.75">
      <c r="A335" s="11">
        <v>74021375</v>
      </c>
      <c r="B335" s="12">
        <v>1059</v>
      </c>
      <c r="C335" s="13" t="s">
        <v>1687</v>
      </c>
      <c r="D335" s="13" t="s">
        <v>1688</v>
      </c>
      <c r="E335" s="14">
        <v>74021375</v>
      </c>
      <c r="F335" s="14">
        <v>1059</v>
      </c>
      <c r="G335" s="13" t="s">
        <v>27</v>
      </c>
      <c r="H335" s="13" t="s">
        <v>1689</v>
      </c>
      <c r="I335" s="13" t="s">
        <v>1690</v>
      </c>
      <c r="J335" s="14">
        <f>74951980930</f>
      </c>
      <c r="K335" s="9"/>
      <c r="L335" s="13" t="s">
        <v>80</v>
      </c>
      <c r="M335" s="14">
        <v>149</v>
      </c>
      <c r="N335" s="13" t="s">
        <v>1691</v>
      </c>
      <c r="O335" s="13" t="s">
        <v>32</v>
      </c>
      <c r="P335" s="13" t="s">
        <v>32</v>
      </c>
      <c r="Q335" s="14" t="s">
        <v>58</v>
      </c>
      <c r="R335" s="13" t="s">
        <v>33</v>
      </c>
      <c r="S335" s="13" t="s">
        <v>34</v>
      </c>
      <c r="T335" s="15">
        <v>0</v>
      </c>
      <c r="U335" s="13"/>
      <c r="V335" s="15">
        <v>0</v>
      </c>
      <c r="W335" s="13" t="s">
        <v>48</v>
      </c>
      <c r="X335" s="15" t="s">
        <v>36</v>
      </c>
      <c r="Y335" s="13" t="s">
        <v>59</v>
      </c>
    </row>
    <row x14ac:dyDescent="0.25" r="336" customHeight="1" ht="18.75">
      <c r="A336" s="5">
        <v>74021377</v>
      </c>
      <c r="B336" s="6">
        <v>1061</v>
      </c>
      <c r="C336" s="7" t="s">
        <v>1692</v>
      </c>
      <c r="D336" s="7" t="s">
        <v>1693</v>
      </c>
      <c r="E336" s="8">
        <v>74021377</v>
      </c>
      <c r="F336" s="8">
        <v>1061</v>
      </c>
      <c r="G336" s="7" t="s">
        <v>27</v>
      </c>
      <c r="H336" s="7" t="s">
        <v>1694</v>
      </c>
      <c r="I336" s="7" t="s">
        <v>1695</v>
      </c>
      <c r="J336" s="8">
        <f>79667561207</f>
      </c>
      <c r="K336" s="9"/>
      <c r="L336" s="7" t="s">
        <v>54</v>
      </c>
      <c r="M336" s="8">
        <v>188</v>
      </c>
      <c r="N336" s="7" t="s">
        <v>55</v>
      </c>
      <c r="O336" s="7" t="s">
        <v>56</v>
      </c>
      <c r="P336" s="7" t="s">
        <v>57</v>
      </c>
      <c r="Q336" s="8" t="s">
        <v>58</v>
      </c>
      <c r="R336" s="7" t="s">
        <v>33</v>
      </c>
      <c r="S336" s="7" t="s">
        <v>34</v>
      </c>
      <c r="T336" s="10">
        <v>0</v>
      </c>
      <c r="U336" s="7"/>
      <c r="V336" s="10">
        <v>0</v>
      </c>
      <c r="W336" s="7" t="s">
        <v>48</v>
      </c>
      <c r="X336" s="10" t="s">
        <v>36</v>
      </c>
      <c r="Y336" s="7" t="s">
        <v>37</v>
      </c>
    </row>
    <row x14ac:dyDescent="0.25" r="337" customHeight="1" ht="18.75">
      <c r="A337" s="11">
        <v>74021378</v>
      </c>
      <c r="B337" s="12">
        <v>1062</v>
      </c>
      <c r="C337" s="13" t="s">
        <v>1696</v>
      </c>
      <c r="D337" s="13" t="s">
        <v>1697</v>
      </c>
      <c r="E337" s="14">
        <v>74021378</v>
      </c>
      <c r="F337" s="14">
        <v>1062</v>
      </c>
      <c r="G337" s="13" t="s">
        <v>27</v>
      </c>
      <c r="H337" s="13" t="s">
        <v>1698</v>
      </c>
      <c r="I337" s="13" t="s">
        <v>1699</v>
      </c>
      <c r="J337" s="14">
        <f>79310085121</f>
      </c>
      <c r="K337" s="9"/>
      <c r="L337" s="13" t="s">
        <v>54</v>
      </c>
      <c r="M337" s="14">
        <v>188</v>
      </c>
      <c r="N337" s="13" t="s">
        <v>55</v>
      </c>
      <c r="O337" s="13" t="s">
        <v>56</v>
      </c>
      <c r="P337" s="13" t="s">
        <v>57</v>
      </c>
      <c r="Q337" s="14" t="s">
        <v>58</v>
      </c>
      <c r="R337" s="13" t="s">
        <v>33</v>
      </c>
      <c r="S337" s="13" t="s">
        <v>34</v>
      </c>
      <c r="T337" s="15">
        <v>0</v>
      </c>
      <c r="U337" s="13"/>
      <c r="V337" s="15">
        <v>0</v>
      </c>
      <c r="W337" s="13" t="s">
        <v>48</v>
      </c>
      <c r="X337" s="15" t="s">
        <v>36</v>
      </c>
      <c r="Y337" s="13" t="s">
        <v>37</v>
      </c>
    </row>
    <row x14ac:dyDescent="0.25" r="338" customHeight="1" ht="18.75">
      <c r="A338" s="5">
        <v>74021379</v>
      </c>
      <c r="B338" s="6">
        <v>1063</v>
      </c>
      <c r="C338" s="7" t="s">
        <v>1700</v>
      </c>
      <c r="D338" s="7" t="s">
        <v>1701</v>
      </c>
      <c r="E338" s="8">
        <v>74021379</v>
      </c>
      <c r="F338" s="8">
        <v>1063</v>
      </c>
      <c r="G338" s="7" t="s">
        <v>27</v>
      </c>
      <c r="H338" s="7" t="s">
        <v>1702</v>
      </c>
      <c r="I338" s="7" t="s">
        <v>1703</v>
      </c>
      <c r="J338" s="8">
        <f>79310034228</f>
      </c>
      <c r="K338" s="9"/>
      <c r="L338" s="7" t="s">
        <v>54</v>
      </c>
      <c r="M338" s="8">
        <v>188</v>
      </c>
      <c r="N338" s="7" t="s">
        <v>55</v>
      </c>
      <c r="O338" s="7" t="s">
        <v>56</v>
      </c>
      <c r="P338" s="7" t="s">
        <v>1704</v>
      </c>
      <c r="Q338" s="8" t="s">
        <v>58</v>
      </c>
      <c r="R338" s="7" t="s">
        <v>33</v>
      </c>
      <c r="S338" s="7" t="s">
        <v>34</v>
      </c>
      <c r="T338" s="10">
        <v>0</v>
      </c>
      <c r="U338" s="7"/>
      <c r="V338" s="10">
        <v>0</v>
      </c>
      <c r="W338" s="7" t="s">
        <v>48</v>
      </c>
      <c r="X338" s="10" t="s">
        <v>36</v>
      </c>
      <c r="Y338" s="7" t="s">
        <v>126</v>
      </c>
    </row>
    <row x14ac:dyDescent="0.25" r="339" customHeight="1" ht="18.75">
      <c r="A339" s="11">
        <v>74021380</v>
      </c>
      <c r="B339" s="12">
        <v>1064</v>
      </c>
      <c r="C339" s="13" t="s">
        <v>1705</v>
      </c>
      <c r="D339" s="13" t="s">
        <v>1706</v>
      </c>
      <c r="E339" s="14">
        <v>74021380</v>
      </c>
      <c r="F339" s="14">
        <v>1064</v>
      </c>
      <c r="G339" s="13" t="s">
        <v>27</v>
      </c>
      <c r="H339" s="13" t="s">
        <v>1707</v>
      </c>
      <c r="I339" s="13" t="s">
        <v>1708</v>
      </c>
      <c r="J339" s="14">
        <f>79218070802</f>
      </c>
      <c r="K339" s="9"/>
      <c r="L339" s="13" t="s">
        <v>54</v>
      </c>
      <c r="M339" s="14">
        <v>188</v>
      </c>
      <c r="N339" s="13" t="s">
        <v>55</v>
      </c>
      <c r="O339" s="13" t="s">
        <v>56</v>
      </c>
      <c r="P339" s="13" t="s">
        <v>57</v>
      </c>
      <c r="Q339" s="14" t="s">
        <v>58</v>
      </c>
      <c r="R339" s="13" t="s">
        <v>33</v>
      </c>
      <c r="S339" s="13" t="s">
        <v>34</v>
      </c>
      <c r="T339" s="15">
        <v>0</v>
      </c>
      <c r="U339" s="13"/>
      <c r="V339" s="15">
        <v>0</v>
      </c>
      <c r="W339" s="13" t="s">
        <v>48</v>
      </c>
      <c r="X339" s="15" t="s">
        <v>36</v>
      </c>
      <c r="Y339" s="13" t="s">
        <v>37</v>
      </c>
    </row>
    <row x14ac:dyDescent="0.25" r="340" customHeight="1" ht="18.75">
      <c r="A340" s="5">
        <v>74021381</v>
      </c>
      <c r="B340" s="6">
        <v>1065</v>
      </c>
      <c r="C340" s="7" t="s">
        <v>1709</v>
      </c>
      <c r="D340" s="7" t="s">
        <v>1710</v>
      </c>
      <c r="E340" s="8">
        <v>74021381</v>
      </c>
      <c r="F340" s="8">
        <v>1065</v>
      </c>
      <c r="G340" s="7" t="s">
        <v>27</v>
      </c>
      <c r="H340" s="7" t="s">
        <v>1711</v>
      </c>
      <c r="I340" s="7" t="s">
        <v>1712</v>
      </c>
      <c r="J340" s="8">
        <f>79218075104</f>
      </c>
      <c r="K340" s="9"/>
      <c r="L340" s="7" t="s">
        <v>54</v>
      </c>
      <c r="M340" s="8">
        <v>188</v>
      </c>
      <c r="N340" s="7" t="s">
        <v>55</v>
      </c>
      <c r="O340" s="7" t="s">
        <v>56</v>
      </c>
      <c r="P340" s="7" t="s">
        <v>57</v>
      </c>
      <c r="Q340" s="8" t="s">
        <v>58</v>
      </c>
      <c r="R340" s="7" t="s">
        <v>33</v>
      </c>
      <c r="S340" s="7" t="s">
        <v>34</v>
      </c>
      <c r="T340" s="10">
        <v>0</v>
      </c>
      <c r="U340" s="7"/>
      <c r="V340" s="10">
        <v>0</v>
      </c>
      <c r="W340" s="7" t="s">
        <v>48</v>
      </c>
      <c r="X340" s="10" t="s">
        <v>36</v>
      </c>
      <c r="Y340" s="7" t="s">
        <v>37</v>
      </c>
    </row>
    <row x14ac:dyDescent="0.25" r="341" customHeight="1" ht="18.75">
      <c r="A341" s="11">
        <v>74021382</v>
      </c>
      <c r="B341" s="12">
        <v>1066</v>
      </c>
      <c r="C341" s="13" t="s">
        <v>1713</v>
      </c>
      <c r="D341" s="13" t="s">
        <v>1714</v>
      </c>
      <c r="E341" s="14">
        <v>74021382</v>
      </c>
      <c r="F341" s="14">
        <v>1066</v>
      </c>
      <c r="G341" s="13" t="s">
        <v>27</v>
      </c>
      <c r="H341" s="13" t="s">
        <v>1715</v>
      </c>
      <c r="I341" s="13" t="s">
        <v>1716</v>
      </c>
      <c r="J341" s="14">
        <f>79200247186</f>
      </c>
      <c r="K341" s="9"/>
      <c r="L341" s="13" t="s">
        <v>54</v>
      </c>
      <c r="M341" s="14">
        <v>188</v>
      </c>
      <c r="N341" s="13" t="s">
        <v>55</v>
      </c>
      <c r="O341" s="13" t="s">
        <v>44</v>
      </c>
      <c r="P341" s="13" t="s">
        <v>89</v>
      </c>
      <c r="Q341" s="14" t="s">
        <v>58</v>
      </c>
      <c r="R341" s="13" t="s">
        <v>33</v>
      </c>
      <c r="S341" s="13" t="s">
        <v>34</v>
      </c>
      <c r="T341" s="15">
        <v>0</v>
      </c>
      <c r="U341" s="13"/>
      <c r="V341" s="15">
        <v>0</v>
      </c>
      <c r="W341" s="13" t="s">
        <v>48</v>
      </c>
      <c r="X341" s="15" t="s">
        <v>36</v>
      </c>
      <c r="Y341" s="13" t="s">
        <v>37</v>
      </c>
    </row>
    <row x14ac:dyDescent="0.25" r="342" customHeight="1" ht="18.75">
      <c r="A342" s="5">
        <v>74021383</v>
      </c>
      <c r="B342" s="6">
        <v>1067</v>
      </c>
      <c r="C342" s="7" t="s">
        <v>1717</v>
      </c>
      <c r="D342" s="7" t="s">
        <v>1718</v>
      </c>
      <c r="E342" s="8">
        <v>74021383</v>
      </c>
      <c r="F342" s="8">
        <v>1067</v>
      </c>
      <c r="G342" s="7" t="s">
        <v>27</v>
      </c>
      <c r="H342" s="7" t="s">
        <v>1719</v>
      </c>
      <c r="I342" s="7" t="s">
        <v>1720</v>
      </c>
      <c r="J342" s="8">
        <f>79385448720</f>
      </c>
      <c r="K342" s="9"/>
      <c r="L342" s="7" t="s">
        <v>54</v>
      </c>
      <c r="M342" s="8">
        <v>188</v>
      </c>
      <c r="N342" s="7" t="s">
        <v>55</v>
      </c>
      <c r="O342" s="7" t="s">
        <v>119</v>
      </c>
      <c r="P342" s="7" t="s">
        <v>1045</v>
      </c>
      <c r="Q342" s="8" t="s">
        <v>58</v>
      </c>
      <c r="R342" s="7" t="s">
        <v>33</v>
      </c>
      <c r="S342" s="7" t="s">
        <v>34</v>
      </c>
      <c r="T342" s="10">
        <v>0</v>
      </c>
      <c r="U342" s="7"/>
      <c r="V342" s="10">
        <v>0</v>
      </c>
      <c r="W342" s="7" t="s">
        <v>48</v>
      </c>
      <c r="X342" s="10" t="s">
        <v>36</v>
      </c>
      <c r="Y342" s="7" t="s">
        <v>37</v>
      </c>
    </row>
    <row x14ac:dyDescent="0.25" r="343" customHeight="1" ht="18.75">
      <c r="A343" s="11">
        <v>74021384</v>
      </c>
      <c r="B343" s="12">
        <v>1068</v>
      </c>
      <c r="C343" s="13" t="s">
        <v>1721</v>
      </c>
      <c r="D343" s="13" t="s">
        <v>1722</v>
      </c>
      <c r="E343" s="14">
        <v>74021384</v>
      </c>
      <c r="F343" s="14">
        <v>1068</v>
      </c>
      <c r="G343" s="13" t="s">
        <v>27</v>
      </c>
      <c r="H343" s="13" t="s">
        <v>1723</v>
      </c>
      <c r="I343" s="13" t="s">
        <v>1724</v>
      </c>
      <c r="J343" s="14">
        <f>79388672405</f>
      </c>
      <c r="K343" s="9"/>
      <c r="L343" s="13" t="s">
        <v>54</v>
      </c>
      <c r="M343" s="14">
        <v>188</v>
      </c>
      <c r="N343" s="13" t="s">
        <v>55</v>
      </c>
      <c r="O343" s="13" t="s">
        <v>119</v>
      </c>
      <c r="P343" s="13" t="s">
        <v>1725</v>
      </c>
      <c r="Q343" s="14" t="s">
        <v>1039</v>
      </c>
      <c r="R343" s="13" t="s">
        <v>33</v>
      </c>
      <c r="S343" s="13" t="s">
        <v>34</v>
      </c>
      <c r="T343" s="15">
        <v>0</v>
      </c>
      <c r="U343" s="13"/>
      <c r="V343" s="15">
        <v>0</v>
      </c>
      <c r="W343" s="13" t="s">
        <v>48</v>
      </c>
      <c r="X343" s="15" t="s">
        <v>36</v>
      </c>
      <c r="Y343" s="13" t="s">
        <v>37</v>
      </c>
    </row>
    <row x14ac:dyDescent="0.25" r="344" customHeight="1" ht="18.75">
      <c r="A344" s="5">
        <v>74021385</v>
      </c>
      <c r="B344" s="6">
        <v>1069</v>
      </c>
      <c r="C344" s="7" t="s">
        <v>1726</v>
      </c>
      <c r="D344" s="7" t="s">
        <v>1727</v>
      </c>
      <c r="E344" s="8">
        <v>74021385</v>
      </c>
      <c r="F344" s="8">
        <v>1069</v>
      </c>
      <c r="G344" s="7" t="s">
        <v>27</v>
      </c>
      <c r="H344" s="7" t="s">
        <v>1728</v>
      </c>
      <c r="I344" s="7" t="s">
        <v>1729</v>
      </c>
      <c r="J344" s="8">
        <f>79384832022</f>
      </c>
      <c r="K344" s="9"/>
      <c r="L344" s="7" t="s">
        <v>54</v>
      </c>
      <c r="M344" s="8">
        <v>188</v>
      </c>
      <c r="N344" s="7" t="s">
        <v>55</v>
      </c>
      <c r="O344" s="7" t="s">
        <v>119</v>
      </c>
      <c r="P344" s="7" t="s">
        <v>1045</v>
      </c>
      <c r="Q344" s="8" t="s">
        <v>58</v>
      </c>
      <c r="R344" s="7" t="s">
        <v>33</v>
      </c>
      <c r="S344" s="7" t="s">
        <v>34</v>
      </c>
      <c r="T344" s="10">
        <v>0</v>
      </c>
      <c r="U344" s="7"/>
      <c r="V344" s="10">
        <v>0</v>
      </c>
      <c r="W344" s="7" t="s">
        <v>48</v>
      </c>
      <c r="X344" s="10" t="s">
        <v>36</v>
      </c>
      <c r="Y344" s="7" t="s">
        <v>84</v>
      </c>
    </row>
    <row x14ac:dyDescent="0.25" r="345" customHeight="1" ht="18.75">
      <c r="A345" s="11">
        <v>74021389</v>
      </c>
      <c r="B345" s="12">
        <v>1074</v>
      </c>
      <c r="C345" s="13" t="s">
        <v>1730</v>
      </c>
      <c r="D345" s="13" t="s">
        <v>1731</v>
      </c>
      <c r="E345" s="14">
        <v>74021389</v>
      </c>
      <c r="F345" s="14">
        <v>1074</v>
      </c>
      <c r="G345" s="13" t="s">
        <v>27</v>
      </c>
      <c r="H345" s="13" t="s">
        <v>1732</v>
      </c>
      <c r="I345" s="13" t="s">
        <v>1733</v>
      </c>
      <c r="J345" s="14">
        <f>79805168893</f>
      </c>
      <c r="K345" s="9"/>
      <c r="L345" s="13" t="s">
        <v>230</v>
      </c>
      <c r="M345" s="14">
        <v>150</v>
      </c>
      <c r="N345" s="13" t="s">
        <v>1734</v>
      </c>
      <c r="O345" s="13" t="s">
        <v>232</v>
      </c>
      <c r="P345" s="13" t="s">
        <v>233</v>
      </c>
      <c r="Q345" s="14" t="s">
        <v>1735</v>
      </c>
      <c r="R345" s="13" t="s">
        <v>33</v>
      </c>
      <c r="S345" s="13" t="s">
        <v>34</v>
      </c>
      <c r="T345" s="15">
        <v>0</v>
      </c>
      <c r="U345" s="13"/>
      <c r="V345" s="15">
        <v>0</v>
      </c>
      <c r="W345" s="13" t="s">
        <v>48</v>
      </c>
      <c r="X345" s="15" t="s">
        <v>36</v>
      </c>
      <c r="Y345" s="13" t="s">
        <v>37</v>
      </c>
    </row>
    <row x14ac:dyDescent="0.25" r="346" customHeight="1" ht="18.75">
      <c r="A346" s="5">
        <v>74021391</v>
      </c>
      <c r="B346" s="6">
        <v>1075</v>
      </c>
      <c r="C346" s="7" t="s">
        <v>1736</v>
      </c>
      <c r="D346" s="7" t="s">
        <v>1737</v>
      </c>
      <c r="E346" s="8">
        <v>74021391</v>
      </c>
      <c r="F346" s="8">
        <v>1075</v>
      </c>
      <c r="G346" s="7" t="s">
        <v>27</v>
      </c>
      <c r="H346" s="7" t="s">
        <v>1738</v>
      </c>
      <c r="I346" s="7" t="s">
        <v>1739</v>
      </c>
      <c r="J346" s="8">
        <f>73952439390</f>
      </c>
      <c r="K346" s="9"/>
      <c r="L346" s="7" t="s">
        <v>508</v>
      </c>
      <c r="M346" s="8">
        <v>156</v>
      </c>
      <c r="N346" s="7" t="s">
        <v>1740</v>
      </c>
      <c r="O346" s="7" t="s">
        <v>73</v>
      </c>
      <c r="P346" s="7" t="s">
        <v>1741</v>
      </c>
      <c r="Q346" s="8" t="s">
        <v>1742</v>
      </c>
      <c r="R346" s="7" t="s">
        <v>33</v>
      </c>
      <c r="S346" s="7" t="s">
        <v>34</v>
      </c>
      <c r="T346" s="10">
        <v>0</v>
      </c>
      <c r="U346" s="7" t="s">
        <v>48</v>
      </c>
      <c r="V346" s="10" t="s">
        <v>214</v>
      </c>
      <c r="W346" s="7" t="s">
        <v>48</v>
      </c>
      <c r="X346" s="10" t="s">
        <v>36</v>
      </c>
      <c r="Y346" s="7" t="s">
        <v>59</v>
      </c>
    </row>
    <row x14ac:dyDescent="0.25" r="347" customHeight="1" ht="18.75">
      <c r="A347" s="11">
        <v>74021392</v>
      </c>
      <c r="B347" s="12">
        <v>1076</v>
      </c>
      <c r="C347" s="13" t="s">
        <v>1743</v>
      </c>
      <c r="D347" s="13" t="s">
        <v>1744</v>
      </c>
      <c r="E347" s="14">
        <v>74021392</v>
      </c>
      <c r="F347" s="14">
        <v>1076</v>
      </c>
      <c r="G347" s="13" t="s">
        <v>27</v>
      </c>
      <c r="H347" s="13" t="s">
        <v>1745</v>
      </c>
      <c r="I347" s="13" t="s">
        <v>1746</v>
      </c>
      <c r="J347" s="14">
        <f>73952439390</f>
      </c>
      <c r="K347" s="14">
        <v>3801</v>
      </c>
      <c r="L347" s="13" t="s">
        <v>508</v>
      </c>
      <c r="M347" s="14">
        <v>156</v>
      </c>
      <c r="N347" s="13" t="s">
        <v>1740</v>
      </c>
      <c r="O347" s="13" t="s">
        <v>73</v>
      </c>
      <c r="P347" s="13" t="s">
        <v>1741</v>
      </c>
      <c r="Q347" s="14" t="s">
        <v>1742</v>
      </c>
      <c r="R347" s="13" t="s">
        <v>33</v>
      </c>
      <c r="S347" s="13" t="s">
        <v>34</v>
      </c>
      <c r="T347" s="15">
        <v>0</v>
      </c>
      <c r="U347" s="13" t="s">
        <v>35</v>
      </c>
      <c r="V347" s="15" t="s">
        <v>125</v>
      </c>
      <c r="W347" s="13" t="s">
        <v>48</v>
      </c>
      <c r="X347" s="15" t="s">
        <v>36</v>
      </c>
      <c r="Y347" s="13" t="s">
        <v>59</v>
      </c>
    </row>
    <row x14ac:dyDescent="0.25" r="348" customHeight="1" ht="18.75">
      <c r="A348" s="5">
        <v>74021393</v>
      </c>
      <c r="B348" s="6">
        <v>1077</v>
      </c>
      <c r="C348" s="7" t="s">
        <v>1747</v>
      </c>
      <c r="D348" s="7" t="s">
        <v>1748</v>
      </c>
      <c r="E348" s="8">
        <v>74021393</v>
      </c>
      <c r="F348" s="8">
        <v>1077</v>
      </c>
      <c r="G348" s="7" t="s">
        <v>27</v>
      </c>
      <c r="H348" s="7" t="s">
        <v>1749</v>
      </c>
      <c r="I348" s="7" t="s">
        <v>1750</v>
      </c>
      <c r="J348" s="8">
        <f>73952439390</f>
      </c>
      <c r="K348" s="9"/>
      <c r="L348" s="7" t="s">
        <v>508</v>
      </c>
      <c r="M348" s="8">
        <v>156</v>
      </c>
      <c r="N348" s="7" t="s">
        <v>1740</v>
      </c>
      <c r="O348" s="7" t="s">
        <v>73</v>
      </c>
      <c r="P348" s="7" t="s">
        <v>1741</v>
      </c>
      <c r="Q348" s="8" t="s">
        <v>1742</v>
      </c>
      <c r="R348" s="7" t="s">
        <v>33</v>
      </c>
      <c r="S348" s="7" t="s">
        <v>34</v>
      </c>
      <c r="T348" s="10">
        <v>0</v>
      </c>
      <c r="U348" s="7"/>
      <c r="V348" s="10">
        <v>0</v>
      </c>
      <c r="W348" s="7" t="s">
        <v>48</v>
      </c>
      <c r="X348" s="10" t="s">
        <v>36</v>
      </c>
      <c r="Y348" s="7" t="s">
        <v>59</v>
      </c>
    </row>
    <row x14ac:dyDescent="0.25" r="349" customHeight="1" ht="18.75">
      <c r="A349" s="11">
        <v>74021394</v>
      </c>
      <c r="B349" s="12">
        <v>1078</v>
      </c>
      <c r="C349" s="13" t="s">
        <v>1751</v>
      </c>
      <c r="D349" s="13" t="s">
        <v>1752</v>
      </c>
      <c r="E349" s="14">
        <v>74021394</v>
      </c>
      <c r="F349" s="14">
        <v>1078</v>
      </c>
      <c r="G349" s="13" t="s">
        <v>27</v>
      </c>
      <c r="H349" s="13" t="s">
        <v>1753</v>
      </c>
      <c r="I349" s="13" t="s">
        <v>1754</v>
      </c>
      <c r="J349" s="14">
        <f>73952439390</f>
      </c>
      <c r="K349" s="9"/>
      <c r="L349" s="13" t="s">
        <v>508</v>
      </c>
      <c r="M349" s="14">
        <v>100000</v>
      </c>
      <c r="N349" s="13" t="s">
        <v>1755</v>
      </c>
      <c r="O349" s="13" t="s">
        <v>73</v>
      </c>
      <c r="P349" s="13" t="s">
        <v>1741</v>
      </c>
      <c r="Q349" s="14" t="s">
        <v>1742</v>
      </c>
      <c r="R349" s="13" t="s">
        <v>33</v>
      </c>
      <c r="S349" s="13" t="s">
        <v>47</v>
      </c>
      <c r="T349" s="15">
        <v>2</v>
      </c>
      <c r="U349" s="13"/>
      <c r="V349" s="15">
        <v>0</v>
      </c>
      <c r="W349" s="13" t="s">
        <v>48</v>
      </c>
      <c r="X349" s="15" t="s">
        <v>36</v>
      </c>
      <c r="Y349" s="13" t="s">
        <v>126</v>
      </c>
    </row>
    <row x14ac:dyDescent="0.25" r="350" customHeight="1" ht="18.75">
      <c r="A350" s="5">
        <v>74021395</v>
      </c>
      <c r="B350" s="6">
        <v>1079</v>
      </c>
      <c r="C350" s="7" t="s">
        <v>1756</v>
      </c>
      <c r="D350" s="7" t="s">
        <v>1757</v>
      </c>
      <c r="E350" s="8">
        <v>74021395</v>
      </c>
      <c r="F350" s="8">
        <v>1079</v>
      </c>
      <c r="G350" s="7" t="s">
        <v>27</v>
      </c>
      <c r="H350" s="7" t="s">
        <v>1758</v>
      </c>
      <c r="I350" s="7" t="s">
        <v>1759</v>
      </c>
      <c r="J350" s="8">
        <f>73952439390</f>
      </c>
      <c r="K350" s="8">
        <v>3810</v>
      </c>
      <c r="L350" s="7" t="s">
        <v>508</v>
      </c>
      <c r="M350" s="8">
        <v>156</v>
      </c>
      <c r="N350" s="7" t="s">
        <v>1740</v>
      </c>
      <c r="O350" s="7" t="s">
        <v>73</v>
      </c>
      <c r="P350" s="7" t="s">
        <v>1760</v>
      </c>
      <c r="Q350" s="8" t="s">
        <v>1742</v>
      </c>
      <c r="R350" s="7" t="s">
        <v>33</v>
      </c>
      <c r="S350" s="7" t="s">
        <v>34</v>
      </c>
      <c r="T350" s="10">
        <v>0</v>
      </c>
      <c r="U350" s="7" t="s">
        <v>48</v>
      </c>
      <c r="V350" s="10" t="s">
        <v>214</v>
      </c>
      <c r="W350" s="7" t="s">
        <v>48</v>
      </c>
      <c r="X350" s="10" t="s">
        <v>36</v>
      </c>
      <c r="Y350" s="7" t="s">
        <v>59</v>
      </c>
    </row>
    <row x14ac:dyDescent="0.25" r="351" customHeight="1" ht="18.75">
      <c r="A351" s="11">
        <v>74021396</v>
      </c>
      <c r="B351" s="12">
        <v>1080</v>
      </c>
      <c r="C351" s="13" t="s">
        <v>1761</v>
      </c>
      <c r="D351" s="13" t="s">
        <v>1762</v>
      </c>
      <c r="E351" s="14">
        <v>74021396</v>
      </c>
      <c r="F351" s="14">
        <v>1080</v>
      </c>
      <c r="G351" s="13" t="s">
        <v>27</v>
      </c>
      <c r="H351" s="13" t="s">
        <v>1763</v>
      </c>
      <c r="I351" s="13" t="s">
        <v>1764</v>
      </c>
      <c r="J351" s="14">
        <f>73952439390</f>
      </c>
      <c r="K351" s="9"/>
      <c r="L351" s="13" t="s">
        <v>508</v>
      </c>
      <c r="M351" s="14">
        <v>156</v>
      </c>
      <c r="N351" s="13" t="s">
        <v>1740</v>
      </c>
      <c r="O351" s="13" t="s">
        <v>73</v>
      </c>
      <c r="P351" s="13" t="s">
        <v>1741</v>
      </c>
      <c r="Q351" s="14" t="s">
        <v>1742</v>
      </c>
      <c r="R351" s="13" t="s">
        <v>33</v>
      </c>
      <c r="S351" s="13" t="s">
        <v>34</v>
      </c>
      <c r="T351" s="15">
        <v>0</v>
      </c>
      <c r="U351" s="13"/>
      <c r="V351" s="15">
        <v>0</v>
      </c>
      <c r="W351" s="13" t="s">
        <v>48</v>
      </c>
      <c r="X351" s="15" t="s">
        <v>36</v>
      </c>
      <c r="Y351" s="13" t="s">
        <v>59</v>
      </c>
    </row>
    <row x14ac:dyDescent="0.25" r="352" customHeight="1" ht="18.75">
      <c r="A352" s="5">
        <v>74021397</v>
      </c>
      <c r="B352" s="6">
        <v>1081</v>
      </c>
      <c r="C352" s="7" t="s">
        <v>1765</v>
      </c>
      <c r="D352" s="7" t="s">
        <v>1766</v>
      </c>
      <c r="E352" s="8">
        <v>74021397</v>
      </c>
      <c r="F352" s="8">
        <v>1081</v>
      </c>
      <c r="G352" s="7" t="s">
        <v>27</v>
      </c>
      <c r="H352" s="7" t="s">
        <v>1767</v>
      </c>
      <c r="I352" s="7" t="s">
        <v>1768</v>
      </c>
      <c r="J352" s="8">
        <f>73952439390</f>
      </c>
      <c r="K352" s="9"/>
      <c r="L352" s="7" t="s">
        <v>508</v>
      </c>
      <c r="M352" s="8">
        <v>156</v>
      </c>
      <c r="N352" s="7" t="s">
        <v>1740</v>
      </c>
      <c r="O352" s="7" t="s">
        <v>73</v>
      </c>
      <c r="P352" s="7" t="s">
        <v>1741</v>
      </c>
      <c r="Q352" s="8" t="s">
        <v>1742</v>
      </c>
      <c r="R352" s="7" t="s">
        <v>33</v>
      </c>
      <c r="S352" s="7" t="s">
        <v>34</v>
      </c>
      <c r="T352" s="10">
        <v>0</v>
      </c>
      <c r="U352" s="7"/>
      <c r="V352" s="10">
        <v>0</v>
      </c>
      <c r="W352" s="7" t="s">
        <v>48</v>
      </c>
      <c r="X352" s="10" t="s">
        <v>36</v>
      </c>
      <c r="Y352" s="7" t="s">
        <v>37</v>
      </c>
    </row>
    <row x14ac:dyDescent="0.25" r="353" customHeight="1" ht="18.75">
      <c r="A353" s="11">
        <v>74021398</v>
      </c>
      <c r="B353" s="12">
        <v>1082</v>
      </c>
      <c r="C353" s="13" t="s">
        <v>1769</v>
      </c>
      <c r="D353" s="13" t="s">
        <v>1770</v>
      </c>
      <c r="E353" s="14">
        <v>74021398</v>
      </c>
      <c r="F353" s="14">
        <v>1082</v>
      </c>
      <c r="G353" s="13" t="s">
        <v>27</v>
      </c>
      <c r="H353" s="13" t="s">
        <v>1771</v>
      </c>
      <c r="I353" s="13" t="s">
        <v>1772</v>
      </c>
      <c r="J353" s="14">
        <f>73952439390</f>
      </c>
      <c r="K353" s="14">
        <v>7</v>
      </c>
      <c r="L353" s="13" t="s">
        <v>508</v>
      </c>
      <c r="M353" s="14">
        <v>156</v>
      </c>
      <c r="N353" s="13" t="s">
        <v>1740</v>
      </c>
      <c r="O353" s="13" t="s">
        <v>73</v>
      </c>
      <c r="P353" s="13" t="s">
        <v>1741</v>
      </c>
      <c r="Q353" s="14" t="s">
        <v>1742</v>
      </c>
      <c r="R353" s="13" t="s">
        <v>33</v>
      </c>
      <c r="S353" s="13" t="s">
        <v>34</v>
      </c>
      <c r="T353" s="15">
        <v>0</v>
      </c>
      <c r="U353" s="13"/>
      <c r="V353" s="15">
        <v>0</v>
      </c>
      <c r="W353" s="13" t="s">
        <v>48</v>
      </c>
      <c r="X353" s="15" t="s">
        <v>36</v>
      </c>
      <c r="Y353" s="13" t="s">
        <v>126</v>
      </c>
    </row>
    <row x14ac:dyDescent="0.25" r="354" customHeight="1" ht="18.75">
      <c r="A354" s="5">
        <v>74021399</v>
      </c>
      <c r="B354" s="6">
        <v>1083</v>
      </c>
      <c r="C354" s="7" t="s">
        <v>1773</v>
      </c>
      <c r="D354" s="7" t="s">
        <v>1774</v>
      </c>
      <c r="E354" s="8">
        <v>74021399</v>
      </c>
      <c r="F354" s="8">
        <v>1083</v>
      </c>
      <c r="G354" s="7" t="s">
        <v>27</v>
      </c>
      <c r="H354" s="7" t="s">
        <v>1775</v>
      </c>
      <c r="I354" s="7" t="s">
        <v>1776</v>
      </c>
      <c r="J354" s="8">
        <f>73952439390</f>
      </c>
      <c r="K354" s="9"/>
      <c r="L354" s="7" t="s">
        <v>508</v>
      </c>
      <c r="M354" s="8">
        <v>156</v>
      </c>
      <c r="N354" s="7" t="s">
        <v>1740</v>
      </c>
      <c r="O354" s="7" t="s">
        <v>73</v>
      </c>
      <c r="P354" s="7" t="s">
        <v>1741</v>
      </c>
      <c r="Q354" s="8" t="s">
        <v>1742</v>
      </c>
      <c r="R354" s="7" t="s">
        <v>33</v>
      </c>
      <c r="S354" s="7" t="s">
        <v>34</v>
      </c>
      <c r="T354" s="10">
        <v>0</v>
      </c>
      <c r="U354" s="7"/>
      <c r="V354" s="10">
        <v>0</v>
      </c>
      <c r="W354" s="7" t="s">
        <v>48</v>
      </c>
      <c r="X354" s="10" t="s">
        <v>36</v>
      </c>
      <c r="Y354" s="7" t="s">
        <v>59</v>
      </c>
    </row>
    <row x14ac:dyDescent="0.25" r="355" customHeight="1" ht="18.75">
      <c r="A355" s="11">
        <v>74021400</v>
      </c>
      <c r="B355" s="12">
        <v>1084</v>
      </c>
      <c r="C355" s="13" t="s">
        <v>1777</v>
      </c>
      <c r="D355" s="13" t="s">
        <v>1778</v>
      </c>
      <c r="E355" s="14">
        <v>74021400</v>
      </c>
      <c r="F355" s="14">
        <v>1084</v>
      </c>
      <c r="G355" s="13" t="s">
        <v>27</v>
      </c>
      <c r="H355" s="13" t="s">
        <v>1779</v>
      </c>
      <c r="I355" s="13" t="s">
        <v>1780</v>
      </c>
      <c r="J355" s="14">
        <f>73952439390</f>
      </c>
      <c r="K355" s="9"/>
      <c r="L355" s="13" t="s">
        <v>508</v>
      </c>
      <c r="M355" s="14">
        <v>156</v>
      </c>
      <c r="N355" s="13" t="s">
        <v>1740</v>
      </c>
      <c r="O355" s="13" t="s">
        <v>73</v>
      </c>
      <c r="P355" s="13" t="s">
        <v>1741</v>
      </c>
      <c r="Q355" s="14" t="s">
        <v>1742</v>
      </c>
      <c r="R355" s="13" t="s">
        <v>33</v>
      </c>
      <c r="S355" s="13" t="s">
        <v>34</v>
      </c>
      <c r="T355" s="15">
        <v>0</v>
      </c>
      <c r="U355" s="13"/>
      <c r="V355" s="15">
        <v>0</v>
      </c>
      <c r="W355" s="13" t="s">
        <v>48</v>
      </c>
      <c r="X355" s="15" t="s">
        <v>36</v>
      </c>
      <c r="Y355" s="13" t="s">
        <v>59</v>
      </c>
    </row>
    <row x14ac:dyDescent="0.25" r="356" customHeight="1" ht="18.75">
      <c r="A356" s="5">
        <v>74021401</v>
      </c>
      <c r="B356" s="6">
        <v>1085</v>
      </c>
      <c r="C356" s="7" t="s">
        <v>1781</v>
      </c>
      <c r="D356" s="7" t="s">
        <v>1782</v>
      </c>
      <c r="E356" s="8">
        <v>74021401</v>
      </c>
      <c r="F356" s="8">
        <v>1085</v>
      </c>
      <c r="G356" s="7" t="s">
        <v>27</v>
      </c>
      <c r="H356" s="7" t="s">
        <v>1783</v>
      </c>
      <c r="I356" s="7" t="s">
        <v>1784</v>
      </c>
      <c r="J356" s="8">
        <f>73952439390</f>
      </c>
      <c r="K356" s="8">
        <v>6</v>
      </c>
      <c r="L356" s="7" t="s">
        <v>508</v>
      </c>
      <c r="M356" s="8">
        <v>156</v>
      </c>
      <c r="N356" s="7" t="s">
        <v>1740</v>
      </c>
      <c r="O356" s="7" t="s">
        <v>73</v>
      </c>
      <c r="P356" s="7" t="s">
        <v>1741</v>
      </c>
      <c r="Q356" s="8" t="s">
        <v>1742</v>
      </c>
      <c r="R356" s="7" t="s">
        <v>33</v>
      </c>
      <c r="S356" s="7" t="s">
        <v>34</v>
      </c>
      <c r="T356" s="10">
        <v>0</v>
      </c>
      <c r="U356" s="7"/>
      <c r="V356" s="10">
        <v>0</v>
      </c>
      <c r="W356" s="7" t="s">
        <v>48</v>
      </c>
      <c r="X356" s="10" t="s">
        <v>36</v>
      </c>
      <c r="Y356" s="7" t="s">
        <v>37</v>
      </c>
    </row>
    <row x14ac:dyDescent="0.25" r="357" customHeight="1" ht="18.75">
      <c r="A357" s="11">
        <v>74021408</v>
      </c>
      <c r="B357" s="12">
        <v>1092</v>
      </c>
      <c r="C357" s="13" t="s">
        <v>1785</v>
      </c>
      <c r="D357" s="13" t="s">
        <v>1786</v>
      </c>
      <c r="E357" s="14">
        <v>74021408</v>
      </c>
      <c r="F357" s="14">
        <v>1092</v>
      </c>
      <c r="G357" s="13" t="s">
        <v>27</v>
      </c>
      <c r="H357" s="13" t="s">
        <v>1787</v>
      </c>
      <c r="I357" s="13" t="s">
        <v>1788</v>
      </c>
      <c r="J357" s="14">
        <f>79681325172</f>
      </c>
      <c r="K357" s="9"/>
      <c r="L357" s="13" t="s">
        <v>721</v>
      </c>
      <c r="M357" s="14">
        <v>116</v>
      </c>
      <c r="N357" s="13" t="s">
        <v>1269</v>
      </c>
      <c r="O357" s="13" t="s">
        <v>723</v>
      </c>
      <c r="P357" s="13" t="s">
        <v>1789</v>
      </c>
      <c r="Q357" s="14" t="s">
        <v>1790</v>
      </c>
      <c r="R357" s="13" t="s">
        <v>33</v>
      </c>
      <c r="S357" s="13" t="s">
        <v>34</v>
      </c>
      <c r="T357" s="15">
        <v>0</v>
      </c>
      <c r="U357" s="13"/>
      <c r="V357" s="15">
        <v>0</v>
      </c>
      <c r="W357" s="13" t="s">
        <v>48</v>
      </c>
      <c r="X357" s="15" t="s">
        <v>65</v>
      </c>
      <c r="Y357" s="13" t="s">
        <v>37</v>
      </c>
    </row>
    <row x14ac:dyDescent="0.25" r="358" customHeight="1" ht="18.75">
      <c r="A358" s="5">
        <v>74021410</v>
      </c>
      <c r="B358" s="6">
        <v>1094</v>
      </c>
      <c r="C358" s="7" t="s">
        <v>1791</v>
      </c>
      <c r="D358" s="7" t="s">
        <v>1792</v>
      </c>
      <c r="E358" s="8">
        <v>74021410</v>
      </c>
      <c r="F358" s="8">
        <v>1094</v>
      </c>
      <c r="G358" s="7" t="s">
        <v>27</v>
      </c>
      <c r="H358" s="7" t="s">
        <v>1793</v>
      </c>
      <c r="I358" s="7" t="s">
        <v>1794</v>
      </c>
      <c r="J358" s="8">
        <f>79299358916</f>
      </c>
      <c r="K358" s="9"/>
      <c r="L358" s="7" t="s">
        <v>544</v>
      </c>
      <c r="M358" s="8">
        <v>74</v>
      </c>
      <c r="N358" s="7" t="s">
        <v>545</v>
      </c>
      <c r="O358" s="7" t="s">
        <v>232</v>
      </c>
      <c r="P358" s="7" t="s">
        <v>1355</v>
      </c>
      <c r="Q358" s="8" t="s">
        <v>58</v>
      </c>
      <c r="R358" s="7" t="s">
        <v>33</v>
      </c>
      <c r="S358" s="7" t="s">
        <v>34</v>
      </c>
      <c r="T358" s="10">
        <v>0</v>
      </c>
      <c r="U358" s="7"/>
      <c r="V358" s="10">
        <v>0</v>
      </c>
      <c r="W358" s="7" t="s">
        <v>48</v>
      </c>
      <c r="X358" s="10" t="s">
        <v>65</v>
      </c>
      <c r="Y358" s="7" t="s">
        <v>37</v>
      </c>
    </row>
    <row x14ac:dyDescent="0.25" r="359" customHeight="1" ht="18.75">
      <c r="A359" s="11">
        <v>74221414</v>
      </c>
      <c r="B359" s="12">
        <v>1098</v>
      </c>
      <c r="C359" s="13" t="s">
        <v>1795</v>
      </c>
      <c r="D359" s="13" t="s">
        <v>1796</v>
      </c>
      <c r="E359" s="14">
        <v>74321414</v>
      </c>
      <c r="F359" s="14">
        <v>1098</v>
      </c>
      <c r="G359" s="13" t="s">
        <v>27</v>
      </c>
      <c r="H359" s="13" t="s">
        <v>1797</v>
      </c>
      <c r="I359" s="13" t="s">
        <v>1798</v>
      </c>
      <c r="J359" s="14">
        <f>74952408424</f>
      </c>
      <c r="K359" s="14">
        <v>6453</v>
      </c>
      <c r="L359" s="13" t="s">
        <v>1276</v>
      </c>
      <c r="M359" s="14">
        <v>105</v>
      </c>
      <c r="N359" s="13" t="s">
        <v>1277</v>
      </c>
      <c r="O359" s="13" t="s">
        <v>96</v>
      </c>
      <c r="P359" s="13" t="s">
        <v>1799</v>
      </c>
      <c r="Q359" s="14" t="s">
        <v>1800</v>
      </c>
      <c r="R359" s="13" t="s">
        <v>33</v>
      </c>
      <c r="S359" s="13" t="s">
        <v>47</v>
      </c>
      <c r="T359" s="15">
        <v>1</v>
      </c>
      <c r="U359" s="13"/>
      <c r="V359" s="15">
        <v>0</v>
      </c>
      <c r="W359" s="13" t="s">
        <v>48</v>
      </c>
      <c r="X359" s="15" t="s">
        <v>36</v>
      </c>
      <c r="Y359" s="13" t="s">
        <v>59</v>
      </c>
    </row>
    <row x14ac:dyDescent="0.25" r="360" customHeight="1" ht="18.75">
      <c r="A360" s="5">
        <v>74221421</v>
      </c>
      <c r="B360" s="6">
        <v>1105</v>
      </c>
      <c r="C360" s="7" t="s">
        <v>1801</v>
      </c>
      <c r="D360" s="7" t="s">
        <v>1802</v>
      </c>
      <c r="E360" s="8">
        <v>74321421</v>
      </c>
      <c r="F360" s="8">
        <v>1105</v>
      </c>
      <c r="G360" s="7" t="s">
        <v>27</v>
      </c>
      <c r="H360" s="7" t="s">
        <v>1803</v>
      </c>
      <c r="I360" s="7" t="s">
        <v>1804</v>
      </c>
      <c r="J360" s="8">
        <f>74952408424</f>
      </c>
      <c r="K360" s="8">
        <v>6456</v>
      </c>
      <c r="L360" s="7" t="s">
        <v>1276</v>
      </c>
      <c r="M360" s="8">
        <v>105</v>
      </c>
      <c r="N360" s="7" t="s">
        <v>1277</v>
      </c>
      <c r="O360" s="7" t="s">
        <v>82</v>
      </c>
      <c r="P360" s="7" t="s">
        <v>1805</v>
      </c>
      <c r="Q360" s="8" t="s">
        <v>58</v>
      </c>
      <c r="R360" s="7" t="s">
        <v>33</v>
      </c>
      <c r="S360" s="7" t="s">
        <v>47</v>
      </c>
      <c r="T360" s="10">
        <v>3</v>
      </c>
      <c r="U360" s="7"/>
      <c r="V360" s="10">
        <v>0</v>
      </c>
      <c r="W360" s="7" t="s">
        <v>48</v>
      </c>
      <c r="X360" s="10" t="s">
        <v>65</v>
      </c>
      <c r="Y360" s="7" t="s">
        <v>126</v>
      </c>
    </row>
    <row x14ac:dyDescent="0.25" r="361" customHeight="1" ht="18.75">
      <c r="A361" s="11">
        <v>74021424</v>
      </c>
      <c r="B361" s="12">
        <v>1108</v>
      </c>
      <c r="C361" s="13" t="s">
        <v>1806</v>
      </c>
      <c r="D361" s="13" t="s">
        <v>1807</v>
      </c>
      <c r="E361" s="14">
        <v>74021424</v>
      </c>
      <c r="F361" s="14">
        <v>1108</v>
      </c>
      <c r="G361" s="13" t="s">
        <v>27</v>
      </c>
      <c r="H361" s="13" t="s">
        <v>1808</v>
      </c>
      <c r="I361" s="13" t="s">
        <v>1809</v>
      </c>
      <c r="J361" s="14">
        <f>79253101037</f>
      </c>
      <c r="K361" s="9"/>
      <c r="L361" s="13" t="s">
        <v>544</v>
      </c>
      <c r="M361" s="14">
        <v>74</v>
      </c>
      <c r="N361" s="13" t="s">
        <v>545</v>
      </c>
      <c r="O361" s="13" t="s">
        <v>232</v>
      </c>
      <c r="P361" s="13" t="s">
        <v>1287</v>
      </c>
      <c r="Q361" s="14" t="s">
        <v>58</v>
      </c>
      <c r="R361" s="13" t="s">
        <v>33</v>
      </c>
      <c r="S361" s="13" t="s">
        <v>34</v>
      </c>
      <c r="T361" s="15">
        <v>0</v>
      </c>
      <c r="U361" s="13"/>
      <c r="V361" s="15">
        <v>0</v>
      </c>
      <c r="W361" s="13" t="s">
        <v>48</v>
      </c>
      <c r="X361" s="15" t="s">
        <v>65</v>
      </c>
      <c r="Y361" s="13" t="s">
        <v>37</v>
      </c>
    </row>
    <row x14ac:dyDescent="0.25" r="362" customHeight="1" ht="18.75">
      <c r="A362" s="5">
        <v>74221426</v>
      </c>
      <c r="B362" s="6">
        <v>1110</v>
      </c>
      <c r="C362" s="7" t="s">
        <v>1810</v>
      </c>
      <c r="D362" s="7" t="s">
        <v>1811</v>
      </c>
      <c r="E362" s="8">
        <v>74321426</v>
      </c>
      <c r="F362" s="8">
        <v>1110</v>
      </c>
      <c r="G362" s="7" t="s">
        <v>27</v>
      </c>
      <c r="H362" s="7" t="s">
        <v>1812</v>
      </c>
      <c r="I362" s="7" t="s">
        <v>1813</v>
      </c>
      <c r="J362" s="8">
        <f>74952408424</f>
      </c>
      <c r="K362" s="8">
        <v>6002</v>
      </c>
      <c r="L362" s="7" t="s">
        <v>1276</v>
      </c>
      <c r="M362" s="8">
        <v>105</v>
      </c>
      <c r="N362" s="7" t="s">
        <v>1277</v>
      </c>
      <c r="O362" s="7" t="s">
        <v>82</v>
      </c>
      <c r="P362" s="7" t="s">
        <v>1814</v>
      </c>
      <c r="Q362" s="8" t="s">
        <v>58</v>
      </c>
      <c r="R362" s="7" t="s">
        <v>33</v>
      </c>
      <c r="S362" s="7" t="s">
        <v>34</v>
      </c>
      <c r="T362" s="10">
        <v>0</v>
      </c>
      <c r="U362" s="7"/>
      <c r="V362" s="10">
        <v>0</v>
      </c>
      <c r="W362" s="7" t="s">
        <v>48</v>
      </c>
      <c r="X362" s="10" t="s">
        <v>65</v>
      </c>
      <c r="Y362" s="7" t="s">
        <v>37</v>
      </c>
    </row>
    <row x14ac:dyDescent="0.25" r="363" customHeight="1" ht="18.75">
      <c r="A363" s="11">
        <v>74021427</v>
      </c>
      <c r="B363" s="12">
        <v>1111</v>
      </c>
      <c r="C363" s="13" t="s">
        <v>1815</v>
      </c>
      <c r="D363" s="13" t="s">
        <v>1816</v>
      </c>
      <c r="E363" s="14">
        <v>74021427</v>
      </c>
      <c r="F363" s="14">
        <v>1111</v>
      </c>
      <c r="G363" s="13" t="s">
        <v>27</v>
      </c>
      <c r="H363" s="13" t="s">
        <v>1817</v>
      </c>
      <c r="I363" s="13" t="s">
        <v>1818</v>
      </c>
      <c r="J363" s="14">
        <f>78412235888</f>
      </c>
      <c r="K363" s="14">
        <v>5</v>
      </c>
      <c r="L363" s="13" t="s">
        <v>146</v>
      </c>
      <c r="M363" s="14">
        <v>53</v>
      </c>
      <c r="N363" s="13" t="s">
        <v>147</v>
      </c>
      <c r="O363" s="13" t="s">
        <v>44</v>
      </c>
      <c r="P363" s="13" t="s">
        <v>148</v>
      </c>
      <c r="Q363" s="14" t="s">
        <v>1819</v>
      </c>
      <c r="R363" s="13" t="s">
        <v>33</v>
      </c>
      <c r="S363" s="13" t="s">
        <v>34</v>
      </c>
      <c r="T363" s="15">
        <v>0</v>
      </c>
      <c r="U363" s="13"/>
      <c r="V363" s="15">
        <v>0</v>
      </c>
      <c r="W363" s="13" t="s">
        <v>48</v>
      </c>
      <c r="X363" s="15" t="s">
        <v>36</v>
      </c>
      <c r="Y363" s="13" t="s">
        <v>37</v>
      </c>
    </row>
    <row x14ac:dyDescent="0.25" r="364" customHeight="1" ht="18.75">
      <c r="A364" s="5">
        <v>74021428</v>
      </c>
      <c r="B364" s="6">
        <v>1112</v>
      </c>
      <c r="C364" s="7" t="s">
        <v>1820</v>
      </c>
      <c r="D364" s="7" t="s">
        <v>1821</v>
      </c>
      <c r="E364" s="8">
        <v>74021428</v>
      </c>
      <c r="F364" s="8">
        <v>1112</v>
      </c>
      <c r="G364" s="7" t="s">
        <v>27</v>
      </c>
      <c r="H364" s="7" t="s">
        <v>1822</v>
      </c>
      <c r="I364" s="7" t="s">
        <v>1823</v>
      </c>
      <c r="J364" s="8">
        <f>79253447601</f>
      </c>
      <c r="K364" s="9"/>
      <c r="L364" s="7" t="s">
        <v>544</v>
      </c>
      <c r="M364" s="8">
        <v>74</v>
      </c>
      <c r="N364" s="7" t="s">
        <v>545</v>
      </c>
      <c r="O364" s="7" t="s">
        <v>32</v>
      </c>
      <c r="P364" s="7" t="s">
        <v>32</v>
      </c>
      <c r="Q364" s="8" t="s">
        <v>488</v>
      </c>
      <c r="R364" s="7" t="s">
        <v>33</v>
      </c>
      <c r="S364" s="7" t="s">
        <v>34</v>
      </c>
      <c r="T364" s="10">
        <v>0</v>
      </c>
      <c r="U364" s="7"/>
      <c r="V364" s="10">
        <v>0</v>
      </c>
      <c r="W364" s="7" t="s">
        <v>48</v>
      </c>
      <c r="X364" s="10" t="s">
        <v>65</v>
      </c>
      <c r="Y364" s="7" t="s">
        <v>37</v>
      </c>
    </row>
    <row x14ac:dyDescent="0.25" r="365" customHeight="1" ht="18.75">
      <c r="A365" s="11">
        <v>74021429</v>
      </c>
      <c r="B365" s="12">
        <v>1113</v>
      </c>
      <c r="C365" s="13" t="s">
        <v>1824</v>
      </c>
      <c r="D365" s="13" t="s">
        <v>1825</v>
      </c>
      <c r="E365" s="14">
        <v>74021429</v>
      </c>
      <c r="F365" s="14">
        <v>1113</v>
      </c>
      <c r="G365" s="13" t="s">
        <v>27</v>
      </c>
      <c r="H365" s="13" t="s">
        <v>1826</v>
      </c>
      <c r="I365" s="13" t="s">
        <v>1827</v>
      </c>
      <c r="J365" s="14">
        <f>79633746058</f>
      </c>
      <c r="K365" s="9"/>
      <c r="L365" s="13" t="s">
        <v>117</v>
      </c>
      <c r="M365" s="14">
        <v>210</v>
      </c>
      <c r="N365" s="13" t="s">
        <v>118</v>
      </c>
      <c r="O365" s="13" t="s">
        <v>119</v>
      </c>
      <c r="P365" s="13" t="s">
        <v>806</v>
      </c>
      <c r="Q365" s="14" t="s">
        <v>58</v>
      </c>
      <c r="R365" s="13" t="s">
        <v>33</v>
      </c>
      <c r="S365" s="13" t="s">
        <v>34</v>
      </c>
      <c r="T365" s="15">
        <v>0</v>
      </c>
      <c r="U365" s="13"/>
      <c r="V365" s="15">
        <v>0</v>
      </c>
      <c r="W365" s="13" t="s">
        <v>48</v>
      </c>
      <c r="X365" s="15" t="s">
        <v>65</v>
      </c>
      <c r="Y365" s="13" t="s">
        <v>37</v>
      </c>
    </row>
    <row x14ac:dyDescent="0.25" r="366" customHeight="1" ht="18.75">
      <c r="A366" s="5">
        <v>74021432</v>
      </c>
      <c r="B366" s="6">
        <v>1116</v>
      </c>
      <c r="C366" s="7" t="s">
        <v>1828</v>
      </c>
      <c r="D366" s="7" t="s">
        <v>1829</v>
      </c>
      <c r="E366" s="8">
        <v>74021432</v>
      </c>
      <c r="F366" s="8">
        <v>1116</v>
      </c>
      <c r="G366" s="7" t="s">
        <v>27</v>
      </c>
      <c r="H366" s="7" t="s">
        <v>28</v>
      </c>
      <c r="I366" s="7" t="s">
        <v>1830</v>
      </c>
      <c r="J366" s="8">
        <f>74957255646</f>
      </c>
      <c r="K366" s="8">
        <v>1243</v>
      </c>
      <c r="L366" s="7" t="s">
        <v>30</v>
      </c>
      <c r="M366" s="8">
        <v>56</v>
      </c>
      <c r="N366" s="7" t="s">
        <v>31</v>
      </c>
      <c r="O366" s="7" t="s">
        <v>32</v>
      </c>
      <c r="P366" s="7" t="s">
        <v>32</v>
      </c>
      <c r="Q366" s="8" t="s">
        <v>1831</v>
      </c>
      <c r="R366" s="7" t="s">
        <v>33</v>
      </c>
      <c r="S366" s="7" t="s">
        <v>47</v>
      </c>
      <c r="T366" s="10">
        <v>2</v>
      </c>
      <c r="U366" s="7"/>
      <c r="V366" s="10">
        <v>0</v>
      </c>
      <c r="W366" s="7" t="s">
        <v>48</v>
      </c>
      <c r="X366" s="10" t="s">
        <v>65</v>
      </c>
      <c r="Y366" s="7" t="s">
        <v>37</v>
      </c>
    </row>
    <row x14ac:dyDescent="0.25" r="367" customHeight="1" ht="18.75">
      <c r="A367" s="11">
        <v>74021433</v>
      </c>
      <c r="B367" s="12">
        <v>1117</v>
      </c>
      <c r="C367" s="13" t="s">
        <v>1832</v>
      </c>
      <c r="D367" s="13" t="s">
        <v>1833</v>
      </c>
      <c r="E367" s="14">
        <v>74021433</v>
      </c>
      <c r="F367" s="14">
        <v>1117</v>
      </c>
      <c r="G367" s="13" t="s">
        <v>27</v>
      </c>
      <c r="H367" s="13" t="s">
        <v>1834</v>
      </c>
      <c r="I367" s="13" t="s">
        <v>1835</v>
      </c>
      <c r="J367" s="14">
        <f>73412912458</f>
      </c>
      <c r="K367" s="9"/>
      <c r="L367" s="13" t="s">
        <v>42</v>
      </c>
      <c r="M367" s="14">
        <v>91</v>
      </c>
      <c r="N367" s="13" t="s">
        <v>1442</v>
      </c>
      <c r="O367" s="13" t="s">
        <v>44</v>
      </c>
      <c r="P367" s="13" t="s">
        <v>45</v>
      </c>
      <c r="Q367" s="14" t="s">
        <v>1836</v>
      </c>
      <c r="R367" s="13" t="s">
        <v>33</v>
      </c>
      <c r="S367" s="13" t="s">
        <v>34</v>
      </c>
      <c r="T367" s="15">
        <v>0</v>
      </c>
      <c r="U367" s="13"/>
      <c r="V367" s="15">
        <v>0</v>
      </c>
      <c r="W367" s="13" t="s">
        <v>48</v>
      </c>
      <c r="X367" s="15" t="s">
        <v>36</v>
      </c>
      <c r="Y367" s="13" t="s">
        <v>126</v>
      </c>
    </row>
    <row x14ac:dyDescent="0.25" r="368" customHeight="1" ht="18.75">
      <c r="A368" s="5">
        <v>74021434</v>
      </c>
      <c r="B368" s="6">
        <v>1118</v>
      </c>
      <c r="C368" s="7" t="s">
        <v>1837</v>
      </c>
      <c r="D368" s="7" t="s">
        <v>1838</v>
      </c>
      <c r="E368" s="8">
        <v>74021434</v>
      </c>
      <c r="F368" s="8">
        <v>1118</v>
      </c>
      <c r="G368" s="7" t="s">
        <v>27</v>
      </c>
      <c r="H368" s="7" t="s">
        <v>1839</v>
      </c>
      <c r="I368" s="7" t="s">
        <v>1840</v>
      </c>
      <c r="J368" s="8">
        <f>73412998273</f>
      </c>
      <c r="K368" s="9"/>
      <c r="L368" s="7" t="s">
        <v>42</v>
      </c>
      <c r="M368" s="8">
        <v>127</v>
      </c>
      <c r="N368" s="7" t="s">
        <v>1452</v>
      </c>
      <c r="O368" s="7" t="s">
        <v>44</v>
      </c>
      <c r="P368" s="7" t="s">
        <v>45</v>
      </c>
      <c r="Q368" s="8" t="s">
        <v>1841</v>
      </c>
      <c r="R368" s="7" t="s">
        <v>33</v>
      </c>
      <c r="S368" s="7" t="s">
        <v>34</v>
      </c>
      <c r="T368" s="10">
        <v>0</v>
      </c>
      <c r="U368" s="7"/>
      <c r="V368" s="10">
        <v>0</v>
      </c>
      <c r="W368" s="7" t="s">
        <v>48</v>
      </c>
      <c r="X368" s="10" t="s">
        <v>36</v>
      </c>
      <c r="Y368" s="7" t="s">
        <v>59</v>
      </c>
    </row>
    <row x14ac:dyDescent="0.25" r="369" customHeight="1" ht="18.75">
      <c r="A369" s="11">
        <v>74021435</v>
      </c>
      <c r="B369" s="12">
        <v>1119</v>
      </c>
      <c r="C369" s="13" t="s">
        <v>1842</v>
      </c>
      <c r="D369" s="13" t="s">
        <v>1843</v>
      </c>
      <c r="E369" s="14">
        <v>74021435</v>
      </c>
      <c r="F369" s="14">
        <v>1119</v>
      </c>
      <c r="G369" s="13" t="s">
        <v>27</v>
      </c>
      <c r="H369" s="13" t="s">
        <v>1844</v>
      </c>
      <c r="I369" s="13" t="s">
        <v>1845</v>
      </c>
      <c r="J369" s="14">
        <f>79681322171</f>
      </c>
      <c r="K369" s="9"/>
      <c r="L369" s="13" t="s">
        <v>721</v>
      </c>
      <c r="M369" s="14">
        <v>116</v>
      </c>
      <c r="N369" s="13" t="s">
        <v>1269</v>
      </c>
      <c r="O369" s="13" t="s">
        <v>723</v>
      </c>
      <c r="P369" s="13" t="s">
        <v>1789</v>
      </c>
      <c r="Q369" s="14" t="s">
        <v>1846</v>
      </c>
      <c r="R369" s="13" t="s">
        <v>33</v>
      </c>
      <c r="S369" s="13" t="s">
        <v>34</v>
      </c>
      <c r="T369" s="15">
        <v>0</v>
      </c>
      <c r="U369" s="13"/>
      <c r="V369" s="15">
        <v>0</v>
      </c>
      <c r="W369" s="13" t="s">
        <v>48</v>
      </c>
      <c r="X369" s="15" t="s">
        <v>65</v>
      </c>
      <c r="Y369" s="13" t="s">
        <v>126</v>
      </c>
    </row>
    <row x14ac:dyDescent="0.25" r="370" customHeight="1" ht="18.75">
      <c r="A370" s="5">
        <v>74021437</v>
      </c>
      <c r="B370" s="6">
        <v>1121</v>
      </c>
      <c r="C370" s="7" t="s">
        <v>1847</v>
      </c>
      <c r="D370" s="7" t="s">
        <v>1848</v>
      </c>
      <c r="E370" s="8">
        <v>74021437</v>
      </c>
      <c r="F370" s="8">
        <v>1121</v>
      </c>
      <c r="G370" s="7" t="s">
        <v>27</v>
      </c>
      <c r="H370" s="7" t="s">
        <v>1849</v>
      </c>
      <c r="I370" s="7" t="s">
        <v>1850</v>
      </c>
      <c r="J370" s="8">
        <f>74112253925</f>
      </c>
      <c r="K370" s="9"/>
      <c r="L370" s="7" t="s">
        <v>508</v>
      </c>
      <c r="M370" s="8">
        <v>159</v>
      </c>
      <c r="N370" s="7" t="s">
        <v>1851</v>
      </c>
      <c r="O370" s="7" t="s">
        <v>723</v>
      </c>
      <c r="P370" s="7" t="s">
        <v>1852</v>
      </c>
      <c r="Q370" s="8" t="s">
        <v>1853</v>
      </c>
      <c r="R370" s="7" t="s">
        <v>33</v>
      </c>
      <c r="S370" s="7" t="s">
        <v>34</v>
      </c>
      <c r="T370" s="10">
        <v>0</v>
      </c>
      <c r="U370" s="7"/>
      <c r="V370" s="10">
        <v>0</v>
      </c>
      <c r="W370" s="7" t="s">
        <v>48</v>
      </c>
      <c r="X370" s="10" t="s">
        <v>36</v>
      </c>
      <c r="Y370" s="7" t="s">
        <v>59</v>
      </c>
    </row>
    <row x14ac:dyDescent="0.25" r="371" customHeight="1" ht="18.75">
      <c r="A371" s="11">
        <v>74221439</v>
      </c>
      <c r="B371" s="12">
        <v>1123</v>
      </c>
      <c r="C371" s="13" t="s">
        <v>1854</v>
      </c>
      <c r="D371" s="13" t="s">
        <v>1855</v>
      </c>
      <c r="E371" s="14">
        <v>74321439</v>
      </c>
      <c r="F371" s="14">
        <v>1123</v>
      </c>
      <c r="G371" s="13" t="s">
        <v>27</v>
      </c>
      <c r="H371" s="13" t="s">
        <v>1856</v>
      </c>
      <c r="I371" s="13" t="s">
        <v>1857</v>
      </c>
      <c r="J371" s="9"/>
      <c r="K371" s="14"/>
      <c r="L371" s="13" t="s">
        <v>1276</v>
      </c>
      <c r="M371" s="14">
        <v>105</v>
      </c>
      <c r="N371" s="13" t="s">
        <v>1277</v>
      </c>
      <c r="O371" s="13" t="s">
        <v>96</v>
      </c>
      <c r="P371" s="13" t="s">
        <v>1799</v>
      </c>
      <c r="Q371" s="14" t="s">
        <v>1858</v>
      </c>
      <c r="R371" s="13" t="s">
        <v>33</v>
      </c>
      <c r="S371" s="13" t="s">
        <v>34</v>
      </c>
      <c r="T371" s="15">
        <v>2</v>
      </c>
      <c r="U371" s="13"/>
      <c r="V371" s="15">
        <v>0</v>
      </c>
      <c r="W371" s="13" t="s">
        <v>48</v>
      </c>
      <c r="X371" s="15" t="s">
        <v>36</v>
      </c>
      <c r="Y371" s="13" t="s">
        <v>126</v>
      </c>
    </row>
    <row x14ac:dyDescent="0.25" r="372" customHeight="1" ht="18.75">
      <c r="A372" s="5">
        <v>74221440</v>
      </c>
      <c r="B372" s="6">
        <v>1124</v>
      </c>
      <c r="C372" s="7" t="s">
        <v>1859</v>
      </c>
      <c r="D372" s="7" t="s">
        <v>1860</v>
      </c>
      <c r="E372" s="8">
        <v>74321440</v>
      </c>
      <c r="F372" s="8">
        <v>1124</v>
      </c>
      <c r="G372" s="7" t="s">
        <v>27</v>
      </c>
      <c r="H372" s="7" t="s">
        <v>1861</v>
      </c>
      <c r="I372" s="7" t="s">
        <v>1862</v>
      </c>
      <c r="J372" s="8">
        <f>74952408424</f>
      </c>
      <c r="K372" s="8">
        <v>6004</v>
      </c>
      <c r="L372" s="7" t="s">
        <v>1276</v>
      </c>
      <c r="M372" s="8">
        <v>105</v>
      </c>
      <c r="N372" s="7" t="s">
        <v>1277</v>
      </c>
      <c r="O372" s="7" t="s">
        <v>82</v>
      </c>
      <c r="P372" s="7" t="s">
        <v>268</v>
      </c>
      <c r="Q372" s="8" t="s">
        <v>112</v>
      </c>
      <c r="R372" s="7" t="s">
        <v>33</v>
      </c>
      <c r="S372" s="7" t="s">
        <v>47</v>
      </c>
      <c r="T372" s="10">
        <v>2</v>
      </c>
      <c r="U372" s="7"/>
      <c r="V372" s="10">
        <v>0</v>
      </c>
      <c r="W372" s="7" t="s">
        <v>48</v>
      </c>
      <c r="X372" s="10" t="s">
        <v>36</v>
      </c>
      <c r="Y372" s="7" t="s">
        <v>59</v>
      </c>
    </row>
    <row x14ac:dyDescent="0.25" r="373" customHeight="1" ht="18.75">
      <c r="A373" s="11">
        <v>74021443</v>
      </c>
      <c r="B373" s="12">
        <v>1127</v>
      </c>
      <c r="C373" s="13" t="s">
        <v>1863</v>
      </c>
      <c r="D373" s="13" t="s">
        <v>1864</v>
      </c>
      <c r="E373" s="14">
        <v>74021443</v>
      </c>
      <c r="F373" s="14">
        <v>1127</v>
      </c>
      <c r="G373" s="13" t="s">
        <v>27</v>
      </c>
      <c r="H373" s="13" t="s">
        <v>1865</v>
      </c>
      <c r="I373" s="13" t="s">
        <v>1866</v>
      </c>
      <c r="J373" s="14">
        <f>79298284503</f>
      </c>
      <c r="K373" s="9"/>
      <c r="L373" s="13" t="s">
        <v>54</v>
      </c>
      <c r="M373" s="14">
        <v>188</v>
      </c>
      <c r="N373" s="13" t="s">
        <v>55</v>
      </c>
      <c r="O373" s="13" t="s">
        <v>119</v>
      </c>
      <c r="P373" s="13" t="s">
        <v>1867</v>
      </c>
      <c r="Q373" s="14" t="s">
        <v>1039</v>
      </c>
      <c r="R373" s="13" t="s">
        <v>33</v>
      </c>
      <c r="S373" s="13" t="s">
        <v>34</v>
      </c>
      <c r="T373" s="15">
        <v>0</v>
      </c>
      <c r="U373" s="13"/>
      <c r="V373" s="15">
        <v>0</v>
      </c>
      <c r="W373" s="13" t="s">
        <v>48</v>
      </c>
      <c r="X373" s="15" t="s">
        <v>36</v>
      </c>
      <c r="Y373" s="13" t="s">
        <v>37</v>
      </c>
    </row>
    <row x14ac:dyDescent="0.25" r="374" customHeight="1" ht="18.75">
      <c r="A374" s="5">
        <v>74221447</v>
      </c>
      <c r="B374" s="6">
        <v>1131</v>
      </c>
      <c r="C374" s="7" t="s">
        <v>1868</v>
      </c>
      <c r="D374" s="7" t="s">
        <v>1869</v>
      </c>
      <c r="E374" s="8">
        <v>74321447</v>
      </c>
      <c r="F374" s="8">
        <v>1131</v>
      </c>
      <c r="G374" s="7" t="s">
        <v>27</v>
      </c>
      <c r="H374" s="7" t="s">
        <v>1870</v>
      </c>
      <c r="I374" s="7" t="s">
        <v>1871</v>
      </c>
      <c r="J374" s="8">
        <f>74952408424</f>
      </c>
      <c r="K374" s="8">
        <v>6449</v>
      </c>
      <c r="L374" s="7" t="s">
        <v>1276</v>
      </c>
      <c r="M374" s="8">
        <v>105</v>
      </c>
      <c r="N374" s="7" t="s">
        <v>1277</v>
      </c>
      <c r="O374" s="7" t="s">
        <v>73</v>
      </c>
      <c r="P374" s="7" t="s">
        <v>1872</v>
      </c>
      <c r="Q374" s="8" t="s">
        <v>1873</v>
      </c>
      <c r="R374" s="7" t="s">
        <v>33</v>
      </c>
      <c r="S374" s="7" t="s">
        <v>47</v>
      </c>
      <c r="T374" s="10">
        <v>2</v>
      </c>
      <c r="U374" s="7"/>
      <c r="V374" s="10">
        <v>0</v>
      </c>
      <c r="W374" s="7" t="s">
        <v>48</v>
      </c>
      <c r="X374" s="10" t="s">
        <v>36</v>
      </c>
      <c r="Y374" s="7" t="s">
        <v>126</v>
      </c>
    </row>
    <row x14ac:dyDescent="0.25" r="375" customHeight="1" ht="18.75">
      <c r="A375" s="11">
        <v>74221450</v>
      </c>
      <c r="B375" s="12">
        <v>1134</v>
      </c>
      <c r="C375" s="13" t="s">
        <v>1874</v>
      </c>
      <c r="D375" s="13" t="s">
        <v>1875</v>
      </c>
      <c r="E375" s="14">
        <v>74321450</v>
      </c>
      <c r="F375" s="14">
        <v>1134</v>
      </c>
      <c r="G375" s="13" t="s">
        <v>27</v>
      </c>
      <c r="H375" s="13" t="s">
        <v>1876</v>
      </c>
      <c r="I375" s="13" t="s">
        <v>1877</v>
      </c>
      <c r="J375" s="14">
        <f>74952408424</f>
      </c>
      <c r="K375" s="14">
        <v>6448</v>
      </c>
      <c r="L375" s="13" t="s">
        <v>1276</v>
      </c>
      <c r="M375" s="14">
        <v>105</v>
      </c>
      <c r="N375" s="13" t="s">
        <v>1277</v>
      </c>
      <c r="O375" s="13" t="s">
        <v>96</v>
      </c>
      <c r="P375" s="13" t="s">
        <v>1799</v>
      </c>
      <c r="Q375" s="14" t="s">
        <v>1878</v>
      </c>
      <c r="R375" s="13" t="s">
        <v>33</v>
      </c>
      <c r="S375" s="13" t="s">
        <v>47</v>
      </c>
      <c r="T375" s="15">
        <v>2</v>
      </c>
      <c r="U375" s="13"/>
      <c r="V375" s="15">
        <v>0</v>
      </c>
      <c r="W375" s="13" t="s">
        <v>48</v>
      </c>
      <c r="X375" s="15" t="s">
        <v>36</v>
      </c>
      <c r="Y375" s="13" t="s">
        <v>37</v>
      </c>
    </row>
    <row x14ac:dyDescent="0.25" r="376" customHeight="1" ht="18.75">
      <c r="A376" s="5">
        <v>74021452</v>
      </c>
      <c r="B376" s="6">
        <v>1136</v>
      </c>
      <c r="C376" s="7" t="s">
        <v>1879</v>
      </c>
      <c r="D376" s="7" t="s">
        <v>1880</v>
      </c>
      <c r="E376" s="8">
        <v>74021452</v>
      </c>
      <c r="F376" s="8">
        <v>1136</v>
      </c>
      <c r="G376" s="7" t="s">
        <v>27</v>
      </c>
      <c r="H376" s="7" t="s">
        <v>1881</v>
      </c>
      <c r="I376" s="7" t="s">
        <v>1882</v>
      </c>
      <c r="J376" s="8">
        <f>79636308203</f>
      </c>
      <c r="K376" s="9"/>
      <c r="L376" s="7" t="s">
        <v>30</v>
      </c>
      <c r="M376" s="8">
        <v>56</v>
      </c>
      <c r="N376" s="7" t="s">
        <v>31</v>
      </c>
      <c r="O376" s="7" t="s">
        <v>32</v>
      </c>
      <c r="P376" s="7" t="s">
        <v>32</v>
      </c>
      <c r="Q376" s="8" t="s">
        <v>58</v>
      </c>
      <c r="R376" s="7" t="s">
        <v>33</v>
      </c>
      <c r="S376" s="7" t="s">
        <v>34</v>
      </c>
      <c r="T376" s="10">
        <v>0</v>
      </c>
      <c r="U376" s="7"/>
      <c r="V376" s="10">
        <v>0</v>
      </c>
      <c r="W376" s="7" t="s">
        <v>48</v>
      </c>
      <c r="X376" s="10" t="s">
        <v>36</v>
      </c>
      <c r="Y376" s="7" t="s">
        <v>37</v>
      </c>
    </row>
    <row x14ac:dyDescent="0.25" r="377" customHeight="1" ht="18.75">
      <c r="A377" s="11">
        <v>74021453</v>
      </c>
      <c r="B377" s="12">
        <v>1137</v>
      </c>
      <c r="C377" s="13" t="s">
        <v>1883</v>
      </c>
      <c r="D377" s="13" t="s">
        <v>1884</v>
      </c>
      <c r="E377" s="14">
        <v>74021453</v>
      </c>
      <c r="F377" s="14">
        <v>1137</v>
      </c>
      <c r="G377" s="13" t="s">
        <v>27</v>
      </c>
      <c r="H377" s="13" t="s">
        <v>1885</v>
      </c>
      <c r="I377" s="13" t="s">
        <v>1886</v>
      </c>
      <c r="J377" s="14">
        <f>79254793917</f>
      </c>
      <c r="K377" s="9"/>
      <c r="L377" s="13" t="s">
        <v>544</v>
      </c>
      <c r="M377" s="14">
        <v>74</v>
      </c>
      <c r="N377" s="13" t="s">
        <v>545</v>
      </c>
      <c r="O377" s="13" t="s">
        <v>232</v>
      </c>
      <c r="P377" s="13" t="s">
        <v>1360</v>
      </c>
      <c r="Q377" s="14" t="s">
        <v>1884</v>
      </c>
      <c r="R377" s="13" t="s">
        <v>33</v>
      </c>
      <c r="S377" s="13" t="s">
        <v>34</v>
      </c>
      <c r="T377" s="15">
        <v>0</v>
      </c>
      <c r="U377" s="13"/>
      <c r="V377" s="15">
        <v>0</v>
      </c>
      <c r="W377" s="13" t="s">
        <v>48</v>
      </c>
      <c r="X377" s="15" t="s">
        <v>65</v>
      </c>
      <c r="Y377" s="13" t="s">
        <v>37</v>
      </c>
    </row>
    <row x14ac:dyDescent="0.25" r="378" customHeight="1" ht="18.75">
      <c r="A378" s="5">
        <v>74021457</v>
      </c>
      <c r="B378" s="6">
        <v>1141</v>
      </c>
      <c r="C378" s="7" t="s">
        <v>1887</v>
      </c>
      <c r="D378" s="7" t="s">
        <v>1888</v>
      </c>
      <c r="E378" s="8">
        <v>74021457</v>
      </c>
      <c r="F378" s="8">
        <v>1141</v>
      </c>
      <c r="G378" s="7" t="s">
        <v>27</v>
      </c>
      <c r="H378" s="7" t="s">
        <v>1889</v>
      </c>
      <c r="I378" s="7" t="s">
        <v>1890</v>
      </c>
      <c r="J378" s="8">
        <f>78412235888</f>
      </c>
      <c r="K378" s="8">
        <v>6</v>
      </c>
      <c r="L378" s="7" t="s">
        <v>146</v>
      </c>
      <c r="M378" s="8">
        <v>53</v>
      </c>
      <c r="N378" s="7" t="s">
        <v>147</v>
      </c>
      <c r="O378" s="7" t="s">
        <v>44</v>
      </c>
      <c r="P378" s="7" t="s">
        <v>148</v>
      </c>
      <c r="Q378" s="8" t="s">
        <v>1891</v>
      </c>
      <c r="R378" s="7" t="s">
        <v>33</v>
      </c>
      <c r="S378" s="7" t="s">
        <v>34</v>
      </c>
      <c r="T378" s="10">
        <v>0</v>
      </c>
      <c r="U378" s="7"/>
      <c r="V378" s="10">
        <v>0</v>
      </c>
      <c r="W378" s="7" t="s">
        <v>48</v>
      </c>
      <c r="X378" s="10" t="s">
        <v>36</v>
      </c>
      <c r="Y378" s="7" t="s">
        <v>59</v>
      </c>
    </row>
    <row x14ac:dyDescent="0.25" r="379" customHeight="1" ht="18.75">
      <c r="A379" s="11">
        <v>74021458</v>
      </c>
      <c r="B379" s="12">
        <v>1142</v>
      </c>
      <c r="C379" s="13" t="s">
        <v>1892</v>
      </c>
      <c r="D379" s="13" t="s">
        <v>1893</v>
      </c>
      <c r="E379" s="14">
        <v>74021458</v>
      </c>
      <c r="F379" s="14">
        <v>1142</v>
      </c>
      <c r="G379" s="13" t="s">
        <v>27</v>
      </c>
      <c r="H379" s="13" t="s">
        <v>1894</v>
      </c>
      <c r="I379" s="13" t="s">
        <v>1895</v>
      </c>
      <c r="J379" s="14">
        <f>73412912437</f>
      </c>
      <c r="K379" s="9"/>
      <c r="L379" s="13" t="s">
        <v>42</v>
      </c>
      <c r="M379" s="14">
        <v>127</v>
      </c>
      <c r="N379" s="13" t="s">
        <v>1452</v>
      </c>
      <c r="O379" s="13" t="s">
        <v>44</v>
      </c>
      <c r="P379" s="13" t="s">
        <v>45</v>
      </c>
      <c r="Q379" s="14" t="s">
        <v>1896</v>
      </c>
      <c r="R379" s="13" t="s">
        <v>33</v>
      </c>
      <c r="S379" s="13" t="s">
        <v>34</v>
      </c>
      <c r="T379" s="15">
        <v>0</v>
      </c>
      <c r="U379" s="13"/>
      <c r="V379" s="15">
        <v>0</v>
      </c>
      <c r="W379" s="13" t="s">
        <v>48</v>
      </c>
      <c r="X379" s="15" t="s">
        <v>36</v>
      </c>
      <c r="Y379" s="13" t="s">
        <v>126</v>
      </c>
    </row>
    <row x14ac:dyDescent="0.25" r="380" customHeight="1" ht="18.75">
      <c r="A380" s="5">
        <v>74021460</v>
      </c>
      <c r="B380" s="6">
        <v>1144</v>
      </c>
      <c r="C380" s="7" t="s">
        <v>1897</v>
      </c>
      <c r="D380" s="7" t="s">
        <v>1898</v>
      </c>
      <c r="E380" s="8">
        <v>74021460</v>
      </c>
      <c r="F380" s="8">
        <v>1144</v>
      </c>
      <c r="G380" s="7" t="s">
        <v>27</v>
      </c>
      <c r="H380" s="7" t="s">
        <v>1899</v>
      </c>
      <c r="I380" s="7" t="s">
        <v>1900</v>
      </c>
      <c r="J380" s="8">
        <f>73422009930</f>
      </c>
      <c r="K380" s="9"/>
      <c r="L380" s="7" t="s">
        <v>42</v>
      </c>
      <c r="M380" s="8">
        <v>132</v>
      </c>
      <c r="N380" s="7" t="s">
        <v>820</v>
      </c>
      <c r="O380" s="7" t="s">
        <v>96</v>
      </c>
      <c r="P380" s="7" t="s">
        <v>978</v>
      </c>
      <c r="Q380" s="8" t="s">
        <v>1901</v>
      </c>
      <c r="R380" s="7" t="s">
        <v>33</v>
      </c>
      <c r="S380" s="7" t="s">
        <v>34</v>
      </c>
      <c r="T380" s="10">
        <v>0</v>
      </c>
      <c r="U380" s="7"/>
      <c r="V380" s="10">
        <v>0</v>
      </c>
      <c r="W380" s="7" t="s">
        <v>48</v>
      </c>
      <c r="X380" s="10" t="s">
        <v>36</v>
      </c>
      <c r="Y380" s="7" t="s">
        <v>37</v>
      </c>
    </row>
    <row x14ac:dyDescent="0.25" r="381" customHeight="1" ht="18.75">
      <c r="A381" s="11">
        <v>74021461</v>
      </c>
      <c r="B381" s="12">
        <v>1145</v>
      </c>
      <c r="C381" s="13" t="s">
        <v>1902</v>
      </c>
      <c r="D381" s="13" t="s">
        <v>1903</v>
      </c>
      <c r="E381" s="14">
        <v>74021461</v>
      </c>
      <c r="F381" s="14">
        <v>1145</v>
      </c>
      <c r="G381" s="13" t="s">
        <v>27</v>
      </c>
      <c r="H381" s="13" t="s">
        <v>1904</v>
      </c>
      <c r="I381" s="13" t="s">
        <v>1905</v>
      </c>
      <c r="J381" s="14">
        <f>79154738598</f>
      </c>
      <c r="K381" s="9"/>
      <c r="L381" s="13" t="s">
        <v>544</v>
      </c>
      <c r="M381" s="14">
        <v>74</v>
      </c>
      <c r="N381" s="13" t="s">
        <v>545</v>
      </c>
      <c r="O381" s="13" t="s">
        <v>232</v>
      </c>
      <c r="P381" s="13" t="s">
        <v>1682</v>
      </c>
      <c r="Q381" s="14" t="s">
        <v>58</v>
      </c>
      <c r="R381" s="13" t="s">
        <v>33</v>
      </c>
      <c r="S381" s="13" t="s">
        <v>34</v>
      </c>
      <c r="T381" s="15">
        <v>0</v>
      </c>
      <c r="U381" s="13"/>
      <c r="V381" s="15">
        <v>0</v>
      </c>
      <c r="W381" s="13" t="s">
        <v>48</v>
      </c>
      <c r="X381" s="15" t="s">
        <v>65</v>
      </c>
      <c r="Y381" s="13" t="s">
        <v>59</v>
      </c>
    </row>
    <row x14ac:dyDescent="0.25" r="382" customHeight="1" ht="18.75">
      <c r="A382" s="5">
        <v>74021462</v>
      </c>
      <c r="B382" s="6">
        <v>1146</v>
      </c>
      <c r="C382" s="7" t="s">
        <v>1906</v>
      </c>
      <c r="D382" s="7" t="s">
        <v>1907</v>
      </c>
      <c r="E382" s="8">
        <v>74021462</v>
      </c>
      <c r="F382" s="8">
        <v>1146</v>
      </c>
      <c r="G382" s="7" t="s">
        <v>27</v>
      </c>
      <c r="H382" s="7" t="s">
        <v>1908</v>
      </c>
      <c r="I382" s="7" t="s">
        <v>1909</v>
      </c>
      <c r="J382" s="8">
        <f>79805100280</f>
      </c>
      <c r="K382" s="9"/>
      <c r="L382" s="7" t="s">
        <v>230</v>
      </c>
      <c r="M382" s="8">
        <v>100031</v>
      </c>
      <c r="N382" s="7" t="s">
        <v>1910</v>
      </c>
      <c r="O382" s="7" t="s">
        <v>232</v>
      </c>
      <c r="P382" s="7" t="s">
        <v>1495</v>
      </c>
      <c r="Q382" s="8" t="s">
        <v>1911</v>
      </c>
      <c r="R382" s="7" t="s">
        <v>33</v>
      </c>
      <c r="S382" s="7" t="s">
        <v>34</v>
      </c>
      <c r="T382" s="10">
        <v>0</v>
      </c>
      <c r="U382" s="7"/>
      <c r="V382" s="10">
        <v>0</v>
      </c>
      <c r="W382" s="7" t="s">
        <v>48</v>
      </c>
      <c r="X382" s="10" t="s">
        <v>36</v>
      </c>
      <c r="Y382" s="7" t="s">
        <v>126</v>
      </c>
    </row>
    <row x14ac:dyDescent="0.25" r="383" customHeight="1" ht="18.75">
      <c r="A383" s="11">
        <v>74021463</v>
      </c>
      <c r="B383" s="12">
        <v>1147</v>
      </c>
      <c r="C383" s="13" t="s">
        <v>1912</v>
      </c>
      <c r="D383" s="13" t="s">
        <v>1913</v>
      </c>
      <c r="E383" s="14">
        <v>74021463</v>
      </c>
      <c r="F383" s="14">
        <v>1147</v>
      </c>
      <c r="G383" s="13" t="s">
        <v>27</v>
      </c>
      <c r="H383" s="13" t="s">
        <v>1914</v>
      </c>
      <c r="I383" s="13" t="s">
        <v>1915</v>
      </c>
      <c r="J383" s="14">
        <f>79306897760</f>
      </c>
      <c r="K383" s="9"/>
      <c r="L383" s="13" t="s">
        <v>54</v>
      </c>
      <c r="M383" s="14">
        <v>188</v>
      </c>
      <c r="N383" s="13" t="s">
        <v>55</v>
      </c>
      <c r="O383" s="13" t="s">
        <v>44</v>
      </c>
      <c r="P383" s="13" t="s">
        <v>89</v>
      </c>
      <c r="Q383" s="14" t="s">
        <v>58</v>
      </c>
      <c r="R383" s="13" t="s">
        <v>33</v>
      </c>
      <c r="S383" s="13" t="s">
        <v>34</v>
      </c>
      <c r="T383" s="15">
        <v>0</v>
      </c>
      <c r="U383" s="13"/>
      <c r="V383" s="15">
        <v>0</v>
      </c>
      <c r="W383" s="13" t="s">
        <v>48</v>
      </c>
      <c r="X383" s="15" t="s">
        <v>36</v>
      </c>
      <c r="Y383" s="13" t="s">
        <v>37</v>
      </c>
    </row>
    <row x14ac:dyDescent="0.25" r="384" customHeight="1" ht="18.75">
      <c r="A384" s="5">
        <v>74021464</v>
      </c>
      <c r="B384" s="6">
        <v>1148</v>
      </c>
      <c r="C384" s="7" t="s">
        <v>1916</v>
      </c>
      <c r="D384" s="7" t="s">
        <v>1917</v>
      </c>
      <c r="E384" s="8">
        <v>74021464</v>
      </c>
      <c r="F384" s="8">
        <v>1148</v>
      </c>
      <c r="G384" s="7" t="s">
        <v>27</v>
      </c>
      <c r="H384" s="7" t="s">
        <v>1918</v>
      </c>
      <c r="I384" s="7" t="s">
        <v>1919</v>
      </c>
      <c r="J384" s="8">
        <f>79375733493</f>
      </c>
      <c r="K384" s="9"/>
      <c r="L384" s="7" t="s">
        <v>54</v>
      </c>
      <c r="M384" s="8">
        <v>188</v>
      </c>
      <c r="N384" s="7" t="s">
        <v>55</v>
      </c>
      <c r="O384" s="7" t="s">
        <v>44</v>
      </c>
      <c r="P384" s="7" t="s">
        <v>292</v>
      </c>
      <c r="Q384" s="8" t="s">
        <v>182</v>
      </c>
      <c r="R384" s="7" t="s">
        <v>33</v>
      </c>
      <c r="S384" s="7" t="s">
        <v>34</v>
      </c>
      <c r="T384" s="10">
        <v>0</v>
      </c>
      <c r="U384" s="7"/>
      <c r="V384" s="10">
        <v>0</v>
      </c>
      <c r="W384" s="7" t="s">
        <v>35</v>
      </c>
      <c r="X384" s="10" t="s">
        <v>65</v>
      </c>
      <c r="Y384" s="7" t="s">
        <v>37</v>
      </c>
    </row>
    <row x14ac:dyDescent="0.25" r="385" customHeight="1" ht="18.75">
      <c r="A385" s="11">
        <v>74021465</v>
      </c>
      <c r="B385" s="12">
        <v>1149</v>
      </c>
      <c r="C385" s="13" t="s">
        <v>1920</v>
      </c>
      <c r="D385" s="13" t="s">
        <v>1921</v>
      </c>
      <c r="E385" s="14">
        <v>74021465</v>
      </c>
      <c r="F385" s="14">
        <v>1149</v>
      </c>
      <c r="G385" s="13" t="s">
        <v>27</v>
      </c>
      <c r="H385" s="13" t="s">
        <v>1922</v>
      </c>
      <c r="I385" s="13" t="s">
        <v>1923</v>
      </c>
      <c r="J385" s="14">
        <f>79312577251</f>
      </c>
      <c r="K385" s="9"/>
      <c r="L385" s="13" t="s">
        <v>54</v>
      </c>
      <c r="M385" s="14">
        <v>188</v>
      </c>
      <c r="N385" s="13" t="s">
        <v>55</v>
      </c>
      <c r="O385" s="13" t="s">
        <v>56</v>
      </c>
      <c r="P385" s="13" t="s">
        <v>1924</v>
      </c>
      <c r="Q385" s="14" t="s">
        <v>182</v>
      </c>
      <c r="R385" s="13" t="s">
        <v>33</v>
      </c>
      <c r="S385" s="13" t="s">
        <v>34</v>
      </c>
      <c r="T385" s="15">
        <v>0</v>
      </c>
      <c r="U385" s="13"/>
      <c r="V385" s="15">
        <v>0</v>
      </c>
      <c r="W385" s="13" t="s">
        <v>48</v>
      </c>
      <c r="X385" s="15" t="s">
        <v>36</v>
      </c>
      <c r="Y385" s="13" t="s">
        <v>37</v>
      </c>
    </row>
    <row x14ac:dyDescent="0.25" r="386" customHeight="1" ht="18.75">
      <c r="A386" s="5">
        <v>74021466</v>
      </c>
      <c r="B386" s="6">
        <v>1150</v>
      </c>
      <c r="C386" s="7" t="s">
        <v>1925</v>
      </c>
      <c r="D386" s="7" t="s">
        <v>1926</v>
      </c>
      <c r="E386" s="8">
        <v>74021466</v>
      </c>
      <c r="F386" s="8">
        <v>1150</v>
      </c>
      <c r="G386" s="7" t="s">
        <v>27</v>
      </c>
      <c r="H386" s="7" t="s">
        <v>1927</v>
      </c>
      <c r="I386" s="7" t="s">
        <v>1928</v>
      </c>
      <c r="J386" s="8">
        <f>79384730993</f>
      </c>
      <c r="K386" s="9"/>
      <c r="L386" s="7" t="s">
        <v>54</v>
      </c>
      <c r="M386" s="8">
        <v>188</v>
      </c>
      <c r="N386" s="7" t="s">
        <v>55</v>
      </c>
      <c r="O386" s="7" t="s">
        <v>119</v>
      </c>
      <c r="P386" s="7" t="s">
        <v>1929</v>
      </c>
      <c r="Q386" s="8" t="s">
        <v>1039</v>
      </c>
      <c r="R386" s="7" t="s">
        <v>33</v>
      </c>
      <c r="S386" s="7" t="s">
        <v>34</v>
      </c>
      <c r="T386" s="10">
        <v>0</v>
      </c>
      <c r="U386" s="7"/>
      <c r="V386" s="10">
        <v>0</v>
      </c>
      <c r="W386" s="7" t="s">
        <v>48</v>
      </c>
      <c r="X386" s="10" t="s">
        <v>36</v>
      </c>
      <c r="Y386" s="7" t="s">
        <v>37</v>
      </c>
    </row>
    <row x14ac:dyDescent="0.25" r="387" customHeight="1" ht="18.75">
      <c r="A387" s="11">
        <v>74021469</v>
      </c>
      <c r="B387" s="12">
        <v>1151</v>
      </c>
      <c r="C387" s="13" t="s">
        <v>1930</v>
      </c>
      <c r="D387" s="13" t="s">
        <v>1931</v>
      </c>
      <c r="E387" s="14">
        <v>74021469</v>
      </c>
      <c r="F387" s="14">
        <v>1151</v>
      </c>
      <c r="G387" s="13" t="s">
        <v>27</v>
      </c>
      <c r="H387" s="13" t="s">
        <v>1932</v>
      </c>
      <c r="I387" s="13" t="s">
        <v>1933</v>
      </c>
      <c r="J387" s="14">
        <f>74950231693</f>
      </c>
      <c r="K387" s="9"/>
      <c r="L387" s="13" t="s">
        <v>1334</v>
      </c>
      <c r="M387" s="14">
        <v>123</v>
      </c>
      <c r="N387" s="13" t="s">
        <v>1335</v>
      </c>
      <c r="O387" s="13" t="s">
        <v>32</v>
      </c>
      <c r="P387" s="13" t="s">
        <v>32</v>
      </c>
      <c r="Q387" s="14" t="s">
        <v>58</v>
      </c>
      <c r="R387" s="13" t="s">
        <v>33</v>
      </c>
      <c r="S387" s="13" t="s">
        <v>34</v>
      </c>
      <c r="T387" s="15">
        <v>0</v>
      </c>
      <c r="U387" s="13"/>
      <c r="V387" s="15">
        <v>0</v>
      </c>
      <c r="W387" s="13" t="s">
        <v>48</v>
      </c>
      <c r="X387" s="15" t="s">
        <v>65</v>
      </c>
      <c r="Y387" s="13" t="s">
        <v>59</v>
      </c>
    </row>
    <row x14ac:dyDescent="0.25" r="388" customHeight="1" ht="18.75">
      <c r="A388" s="5">
        <v>74021467</v>
      </c>
      <c r="B388" s="6">
        <v>1152</v>
      </c>
      <c r="C388" s="7" t="s">
        <v>1934</v>
      </c>
      <c r="D388" s="7" t="s">
        <v>1935</v>
      </c>
      <c r="E388" s="8">
        <v>74021467</v>
      </c>
      <c r="F388" s="8">
        <v>1152</v>
      </c>
      <c r="G388" s="7" t="s">
        <v>27</v>
      </c>
      <c r="H388" s="7" t="s">
        <v>1936</v>
      </c>
      <c r="I388" s="7" t="s">
        <v>1937</v>
      </c>
      <c r="J388" s="8">
        <f>79052730696</f>
      </c>
      <c r="K388" s="9"/>
      <c r="L388" s="7" t="s">
        <v>54</v>
      </c>
      <c r="M388" s="8">
        <v>188</v>
      </c>
      <c r="N388" s="7" t="s">
        <v>55</v>
      </c>
      <c r="O388" s="7" t="s">
        <v>56</v>
      </c>
      <c r="P388" s="7" t="s">
        <v>1477</v>
      </c>
      <c r="Q388" s="8" t="s">
        <v>112</v>
      </c>
      <c r="R388" s="7" t="s">
        <v>33</v>
      </c>
      <c r="S388" s="7" t="s">
        <v>34</v>
      </c>
      <c r="T388" s="10">
        <v>0</v>
      </c>
      <c r="U388" s="7"/>
      <c r="V388" s="10">
        <v>0</v>
      </c>
      <c r="W388" s="7" t="s">
        <v>48</v>
      </c>
      <c r="X388" s="10" t="s">
        <v>65</v>
      </c>
      <c r="Y388" s="7" t="s">
        <v>37</v>
      </c>
    </row>
    <row x14ac:dyDescent="0.25" r="389" customHeight="1" ht="18.75">
      <c r="A389" s="11">
        <v>74021468</v>
      </c>
      <c r="B389" s="12">
        <v>1153</v>
      </c>
      <c r="C389" s="13" t="s">
        <v>1938</v>
      </c>
      <c r="D389" s="13" t="s">
        <v>1939</v>
      </c>
      <c r="E389" s="14">
        <v>74021468</v>
      </c>
      <c r="F389" s="14">
        <v>1153</v>
      </c>
      <c r="G389" s="13" t="s">
        <v>27</v>
      </c>
      <c r="H389" s="13" t="s">
        <v>1940</v>
      </c>
      <c r="I389" s="13" t="s">
        <v>1941</v>
      </c>
      <c r="J389" s="14">
        <f>74951980996</f>
      </c>
      <c r="K389" s="9"/>
      <c r="L389" s="13" t="s">
        <v>80</v>
      </c>
      <c r="M389" s="14">
        <v>161</v>
      </c>
      <c r="N389" s="13" t="s">
        <v>1942</v>
      </c>
      <c r="O389" s="13" t="s">
        <v>32</v>
      </c>
      <c r="P389" s="13" t="s">
        <v>32</v>
      </c>
      <c r="Q389" s="14" t="s">
        <v>58</v>
      </c>
      <c r="R389" s="13" t="s">
        <v>33</v>
      </c>
      <c r="S389" s="13" t="s">
        <v>34</v>
      </c>
      <c r="T389" s="15">
        <v>0</v>
      </c>
      <c r="U389" s="13" t="s">
        <v>48</v>
      </c>
      <c r="V389" s="15" t="s">
        <v>214</v>
      </c>
      <c r="W389" s="13" t="s">
        <v>35</v>
      </c>
      <c r="X389" s="15" t="s">
        <v>36</v>
      </c>
      <c r="Y389" s="13" t="s">
        <v>59</v>
      </c>
    </row>
    <row x14ac:dyDescent="0.25" r="390" customHeight="1" ht="18.75">
      <c r="A390" s="5">
        <v>74021471</v>
      </c>
      <c r="B390" s="6">
        <v>1155</v>
      </c>
      <c r="C390" s="7" t="s">
        <v>1943</v>
      </c>
      <c r="D390" s="7" t="s">
        <v>1944</v>
      </c>
      <c r="E390" s="8">
        <v>74021471</v>
      </c>
      <c r="F390" s="8">
        <v>1155</v>
      </c>
      <c r="G390" s="7" t="s">
        <v>27</v>
      </c>
      <c r="H390" s="7" t="s">
        <v>1945</v>
      </c>
      <c r="I390" s="7" t="s">
        <v>1946</v>
      </c>
      <c r="J390" s="8">
        <f>74950210967</f>
      </c>
      <c r="K390" s="9"/>
      <c r="L390" s="7" t="s">
        <v>1334</v>
      </c>
      <c r="M390" s="8">
        <v>123</v>
      </c>
      <c r="N390" s="7" t="s">
        <v>1335</v>
      </c>
      <c r="O390" s="7" t="s">
        <v>32</v>
      </c>
      <c r="P390" s="7" t="s">
        <v>32</v>
      </c>
      <c r="Q390" s="8" t="s">
        <v>58</v>
      </c>
      <c r="R390" s="7" t="s">
        <v>33</v>
      </c>
      <c r="S390" s="7" t="s">
        <v>34</v>
      </c>
      <c r="T390" s="10">
        <v>0</v>
      </c>
      <c r="U390" s="7"/>
      <c r="V390" s="10">
        <v>0</v>
      </c>
      <c r="W390" s="7" t="s">
        <v>48</v>
      </c>
      <c r="X390" s="10" t="s">
        <v>65</v>
      </c>
      <c r="Y390" s="7" t="s">
        <v>37</v>
      </c>
    </row>
    <row x14ac:dyDescent="0.25" r="391" customHeight="1" ht="18.75">
      <c r="A391" s="11">
        <v>74221474</v>
      </c>
      <c r="B391" s="12">
        <v>1158</v>
      </c>
      <c r="C391" s="13" t="s">
        <v>1947</v>
      </c>
      <c r="D391" s="13" t="s">
        <v>1948</v>
      </c>
      <c r="E391" s="14">
        <v>74321474</v>
      </c>
      <c r="F391" s="14">
        <v>1158</v>
      </c>
      <c r="G391" s="13" t="s">
        <v>27</v>
      </c>
      <c r="H391" s="13" t="s">
        <v>1949</v>
      </c>
      <c r="I391" s="13" t="s">
        <v>1950</v>
      </c>
      <c r="J391" s="14">
        <f>74952408424</f>
      </c>
      <c r="K391" s="14">
        <v>6461</v>
      </c>
      <c r="L391" s="13" t="s">
        <v>1276</v>
      </c>
      <c r="M391" s="14">
        <v>105</v>
      </c>
      <c r="N391" s="13" t="s">
        <v>1277</v>
      </c>
      <c r="O391" s="13" t="s">
        <v>73</v>
      </c>
      <c r="P391" s="13" t="s">
        <v>1872</v>
      </c>
      <c r="Q391" s="14" t="s">
        <v>1951</v>
      </c>
      <c r="R391" s="13" t="s">
        <v>33</v>
      </c>
      <c r="S391" s="13" t="s">
        <v>47</v>
      </c>
      <c r="T391" s="15">
        <v>2</v>
      </c>
      <c r="U391" s="13"/>
      <c r="V391" s="15">
        <v>0</v>
      </c>
      <c r="W391" s="13" t="s">
        <v>48</v>
      </c>
      <c r="X391" s="15" t="s">
        <v>36</v>
      </c>
      <c r="Y391" s="13" t="s">
        <v>126</v>
      </c>
    </row>
    <row x14ac:dyDescent="0.25" r="392" customHeight="1" ht="18.75">
      <c r="A392" s="5">
        <v>74021480</v>
      </c>
      <c r="B392" s="6">
        <v>1164</v>
      </c>
      <c r="C392" s="7" t="s">
        <v>1952</v>
      </c>
      <c r="D392" s="7" t="s">
        <v>1953</v>
      </c>
      <c r="E392" s="8">
        <v>74021480</v>
      </c>
      <c r="F392" s="8">
        <v>1164</v>
      </c>
      <c r="G392" s="7" t="s">
        <v>27</v>
      </c>
      <c r="H392" s="7" t="s">
        <v>1954</v>
      </c>
      <c r="I392" s="7" t="s">
        <v>1955</v>
      </c>
      <c r="J392" s="7" t="s">
        <v>467</v>
      </c>
      <c r="K392" s="8">
        <v>1248</v>
      </c>
      <c r="L392" s="7" t="s">
        <v>30</v>
      </c>
      <c r="M392" s="8">
        <v>56</v>
      </c>
      <c r="N392" s="7" t="s">
        <v>31</v>
      </c>
      <c r="O392" s="7" t="s">
        <v>56</v>
      </c>
      <c r="P392" s="7" t="s">
        <v>1956</v>
      </c>
      <c r="Q392" s="8" t="s">
        <v>112</v>
      </c>
      <c r="R392" s="7" t="s">
        <v>33</v>
      </c>
      <c r="S392" s="7" t="s">
        <v>34</v>
      </c>
      <c r="T392" s="10">
        <v>0</v>
      </c>
      <c r="U392" s="7"/>
      <c r="V392" s="10">
        <v>0</v>
      </c>
      <c r="W392" s="7" t="s">
        <v>48</v>
      </c>
      <c r="X392" s="10" t="s">
        <v>65</v>
      </c>
      <c r="Y392" s="7" t="s">
        <v>37</v>
      </c>
    </row>
    <row x14ac:dyDescent="0.25" r="393" customHeight="1" ht="18.75">
      <c r="A393" s="11">
        <v>74021481</v>
      </c>
      <c r="B393" s="12">
        <v>1165</v>
      </c>
      <c r="C393" s="13" t="s">
        <v>1957</v>
      </c>
      <c r="D393" s="13" t="s">
        <v>1958</v>
      </c>
      <c r="E393" s="14">
        <v>74021481</v>
      </c>
      <c r="F393" s="14">
        <v>1165</v>
      </c>
      <c r="G393" s="13" t="s">
        <v>27</v>
      </c>
      <c r="H393" s="13" t="s">
        <v>1959</v>
      </c>
      <c r="I393" s="13" t="s">
        <v>1960</v>
      </c>
      <c r="J393" s="14">
        <f>79636301255</f>
      </c>
      <c r="K393" s="9"/>
      <c r="L393" s="13" t="s">
        <v>30</v>
      </c>
      <c r="M393" s="14">
        <v>56</v>
      </c>
      <c r="N393" s="13" t="s">
        <v>31</v>
      </c>
      <c r="O393" s="13" t="s">
        <v>56</v>
      </c>
      <c r="P393" s="13" t="s">
        <v>1961</v>
      </c>
      <c r="Q393" s="14" t="s">
        <v>112</v>
      </c>
      <c r="R393" s="13" t="s">
        <v>33</v>
      </c>
      <c r="S393" s="13" t="s">
        <v>34</v>
      </c>
      <c r="T393" s="15">
        <v>0</v>
      </c>
      <c r="U393" s="13"/>
      <c r="V393" s="15">
        <v>0</v>
      </c>
      <c r="W393" s="13" t="s">
        <v>48</v>
      </c>
      <c r="X393" s="15" t="s">
        <v>65</v>
      </c>
      <c r="Y393" s="13" t="s">
        <v>59</v>
      </c>
    </row>
    <row x14ac:dyDescent="0.25" r="394" customHeight="1" ht="18.75">
      <c r="A394" s="5">
        <v>74021483</v>
      </c>
      <c r="B394" s="6">
        <v>1167</v>
      </c>
      <c r="C394" s="7" t="s">
        <v>1962</v>
      </c>
      <c r="D394" s="7" t="s">
        <v>1963</v>
      </c>
      <c r="E394" s="8">
        <v>74021483</v>
      </c>
      <c r="F394" s="8">
        <v>1167</v>
      </c>
      <c r="G394" s="7" t="s">
        <v>27</v>
      </c>
      <c r="H394" s="7" t="s">
        <v>1964</v>
      </c>
      <c r="I394" s="7" t="s">
        <v>1965</v>
      </c>
      <c r="J394" s="8">
        <f>78452659947</f>
      </c>
      <c r="K394" s="9"/>
      <c r="L394" s="7" t="s">
        <v>327</v>
      </c>
      <c r="M394" s="8">
        <v>100623</v>
      </c>
      <c r="N394" s="7" t="s">
        <v>328</v>
      </c>
      <c r="O394" s="7" t="s">
        <v>44</v>
      </c>
      <c r="P394" s="7" t="s">
        <v>329</v>
      </c>
      <c r="Q394" s="8" t="s">
        <v>1966</v>
      </c>
      <c r="R394" s="7" t="s">
        <v>33</v>
      </c>
      <c r="S394" s="7" t="s">
        <v>34</v>
      </c>
      <c r="T394" s="10">
        <v>0</v>
      </c>
      <c r="U394" s="7"/>
      <c r="V394" s="10">
        <v>0</v>
      </c>
      <c r="W394" s="7" t="s">
        <v>48</v>
      </c>
      <c r="X394" s="10" t="s">
        <v>36</v>
      </c>
      <c r="Y394" s="7" t="s">
        <v>37</v>
      </c>
    </row>
    <row x14ac:dyDescent="0.25" r="395" customHeight="1" ht="18.75">
      <c r="A395" s="11">
        <v>74021484</v>
      </c>
      <c r="B395" s="12">
        <v>1168</v>
      </c>
      <c r="C395" s="13" t="s">
        <v>1967</v>
      </c>
      <c r="D395" s="13" t="s">
        <v>1968</v>
      </c>
      <c r="E395" s="14">
        <v>74021484</v>
      </c>
      <c r="F395" s="14">
        <v>1168</v>
      </c>
      <c r="G395" s="13" t="s">
        <v>27</v>
      </c>
      <c r="H395" s="13" t="s">
        <v>1969</v>
      </c>
      <c r="I395" s="13" t="s">
        <v>1970</v>
      </c>
      <c r="J395" s="14">
        <f>73532540444</f>
      </c>
      <c r="K395" s="14">
        <v>1028</v>
      </c>
      <c r="L395" s="13" t="s">
        <v>94</v>
      </c>
      <c r="M395" s="14">
        <v>100030</v>
      </c>
      <c r="N395" s="13" t="s">
        <v>1971</v>
      </c>
      <c r="O395" s="13" t="s">
        <v>96</v>
      </c>
      <c r="P395" s="13" t="s">
        <v>220</v>
      </c>
      <c r="Q395" s="14" t="s">
        <v>58</v>
      </c>
      <c r="R395" s="13" t="s">
        <v>33</v>
      </c>
      <c r="S395" s="13" t="s">
        <v>47</v>
      </c>
      <c r="T395" s="15">
        <v>2</v>
      </c>
      <c r="U395" s="13"/>
      <c r="V395" s="15">
        <v>0</v>
      </c>
      <c r="W395" s="13" t="s">
        <v>48</v>
      </c>
      <c r="X395" s="15" t="s">
        <v>65</v>
      </c>
      <c r="Y395" s="13" t="s">
        <v>37</v>
      </c>
    </row>
    <row x14ac:dyDescent="0.25" r="396" customHeight="1" ht="18.75">
      <c r="A396" s="5">
        <v>74021485</v>
      </c>
      <c r="B396" s="6">
        <v>1169</v>
      </c>
      <c r="C396" s="7" t="s">
        <v>1972</v>
      </c>
      <c r="D396" s="7" t="s">
        <v>1973</v>
      </c>
      <c r="E396" s="8">
        <v>74021485</v>
      </c>
      <c r="F396" s="8">
        <v>1169</v>
      </c>
      <c r="G396" s="7" t="s">
        <v>27</v>
      </c>
      <c r="H396" s="7" t="s">
        <v>1974</v>
      </c>
      <c r="I396" s="7" t="s">
        <v>1975</v>
      </c>
      <c r="J396" s="8">
        <f>73472465100</f>
      </c>
      <c r="K396" s="8">
        <v>1027</v>
      </c>
      <c r="L396" s="7" t="s">
        <v>94</v>
      </c>
      <c r="M396" s="8">
        <v>164</v>
      </c>
      <c r="N396" s="7" t="s">
        <v>1976</v>
      </c>
      <c r="O396" s="7" t="s">
        <v>96</v>
      </c>
      <c r="P396" s="7" t="s">
        <v>1977</v>
      </c>
      <c r="Q396" s="8" t="s">
        <v>1978</v>
      </c>
      <c r="R396" s="7" t="s">
        <v>33</v>
      </c>
      <c r="S396" s="7" t="s">
        <v>34</v>
      </c>
      <c r="T396" s="10">
        <v>0</v>
      </c>
      <c r="U396" s="7"/>
      <c r="V396" s="10">
        <v>0</v>
      </c>
      <c r="W396" s="7" t="s">
        <v>48</v>
      </c>
      <c r="X396" s="10" t="s">
        <v>36</v>
      </c>
      <c r="Y396" s="7" t="s">
        <v>37</v>
      </c>
    </row>
    <row x14ac:dyDescent="0.25" r="397" customHeight="1" ht="18.75">
      <c r="A397" s="11">
        <v>74021487</v>
      </c>
      <c r="B397" s="12">
        <v>1171</v>
      </c>
      <c r="C397" s="13" t="s">
        <v>1979</v>
      </c>
      <c r="D397" s="13" t="s">
        <v>1980</v>
      </c>
      <c r="E397" s="14">
        <v>74021487</v>
      </c>
      <c r="F397" s="14">
        <v>1171</v>
      </c>
      <c r="G397" s="13" t="s">
        <v>27</v>
      </c>
      <c r="H397" s="13" t="s">
        <v>1981</v>
      </c>
      <c r="I397" s="13" t="s">
        <v>1982</v>
      </c>
      <c r="J397" s="14">
        <f>78452659948</f>
      </c>
      <c r="K397" s="9"/>
      <c r="L397" s="13" t="s">
        <v>327</v>
      </c>
      <c r="M397" s="14">
        <v>100623</v>
      </c>
      <c r="N397" s="13" t="s">
        <v>328</v>
      </c>
      <c r="O397" s="13" t="s">
        <v>44</v>
      </c>
      <c r="P397" s="13" t="s">
        <v>329</v>
      </c>
      <c r="Q397" s="14" t="s">
        <v>1983</v>
      </c>
      <c r="R397" s="13" t="s">
        <v>33</v>
      </c>
      <c r="S397" s="13" t="s">
        <v>34</v>
      </c>
      <c r="T397" s="15">
        <v>0</v>
      </c>
      <c r="U397" s="13"/>
      <c r="V397" s="15">
        <v>0</v>
      </c>
      <c r="W397" s="13" t="s">
        <v>48</v>
      </c>
      <c r="X397" s="15" t="s">
        <v>36</v>
      </c>
      <c r="Y397" s="13" t="s">
        <v>37</v>
      </c>
    </row>
    <row x14ac:dyDescent="0.25" r="398" customHeight="1" ht="18.75">
      <c r="A398" s="5">
        <v>74021491</v>
      </c>
      <c r="B398" s="6">
        <v>1175</v>
      </c>
      <c r="C398" s="7" t="s">
        <v>1984</v>
      </c>
      <c r="D398" s="7" t="s">
        <v>1985</v>
      </c>
      <c r="E398" s="8">
        <v>74021491</v>
      </c>
      <c r="F398" s="8">
        <v>1175</v>
      </c>
      <c r="G398" s="7" t="s">
        <v>27</v>
      </c>
      <c r="H398" s="7" t="s">
        <v>1986</v>
      </c>
      <c r="I398" s="7" t="s">
        <v>1987</v>
      </c>
      <c r="J398" s="8">
        <f>79259543641</f>
      </c>
      <c r="K398" s="9"/>
      <c r="L398" s="7" t="s">
        <v>544</v>
      </c>
      <c r="M398" s="8">
        <v>74</v>
      </c>
      <c r="N398" s="7" t="s">
        <v>545</v>
      </c>
      <c r="O398" s="7" t="s">
        <v>32</v>
      </c>
      <c r="P398" s="7" t="s">
        <v>32</v>
      </c>
      <c r="Q398" s="8" t="s">
        <v>58</v>
      </c>
      <c r="R398" s="7" t="s">
        <v>33</v>
      </c>
      <c r="S398" s="7" t="s">
        <v>34</v>
      </c>
      <c r="T398" s="10">
        <v>0</v>
      </c>
      <c r="U398" s="7"/>
      <c r="V398" s="10">
        <v>0</v>
      </c>
      <c r="W398" s="7" t="s">
        <v>48</v>
      </c>
      <c r="X398" s="10" t="s">
        <v>65</v>
      </c>
      <c r="Y398" s="7" t="s">
        <v>37</v>
      </c>
    </row>
    <row x14ac:dyDescent="0.25" r="399" customHeight="1" ht="18.75">
      <c r="A399" s="11">
        <v>74021492</v>
      </c>
      <c r="B399" s="12">
        <v>1176</v>
      </c>
      <c r="C399" s="13" t="s">
        <v>1988</v>
      </c>
      <c r="D399" s="13" t="s">
        <v>1989</v>
      </c>
      <c r="E399" s="14">
        <v>74021492</v>
      </c>
      <c r="F399" s="14">
        <v>1176</v>
      </c>
      <c r="G399" s="13" t="s">
        <v>27</v>
      </c>
      <c r="H399" s="13" t="s">
        <v>1990</v>
      </c>
      <c r="I399" s="13" t="s">
        <v>1991</v>
      </c>
      <c r="J399" s="14">
        <f>79218975606</f>
      </c>
      <c r="K399" s="9"/>
      <c r="L399" s="13" t="s">
        <v>54</v>
      </c>
      <c r="M399" s="14">
        <v>188</v>
      </c>
      <c r="N399" s="13" t="s">
        <v>55</v>
      </c>
      <c r="O399" s="13" t="s">
        <v>56</v>
      </c>
      <c r="P399" s="13" t="s">
        <v>57</v>
      </c>
      <c r="Q399" s="14" t="s">
        <v>58</v>
      </c>
      <c r="R399" s="13" t="s">
        <v>33</v>
      </c>
      <c r="S399" s="13" t="s">
        <v>34</v>
      </c>
      <c r="T399" s="15">
        <v>0</v>
      </c>
      <c r="U399" s="13" t="s">
        <v>35</v>
      </c>
      <c r="V399" s="15" t="s">
        <v>214</v>
      </c>
      <c r="W399" s="13" t="s">
        <v>48</v>
      </c>
      <c r="X399" s="15" t="s">
        <v>36</v>
      </c>
      <c r="Y399" s="13" t="s">
        <v>59</v>
      </c>
    </row>
    <row x14ac:dyDescent="0.25" r="400" customHeight="1" ht="18.75">
      <c r="A400" s="5">
        <v>74021493</v>
      </c>
      <c r="B400" s="6">
        <v>1177</v>
      </c>
      <c r="C400" s="7" t="s">
        <v>1992</v>
      </c>
      <c r="D400" s="7" t="s">
        <v>1993</v>
      </c>
      <c r="E400" s="8">
        <v>74021493</v>
      </c>
      <c r="F400" s="8">
        <v>1177</v>
      </c>
      <c r="G400" s="7" t="s">
        <v>27</v>
      </c>
      <c r="H400" s="7" t="s">
        <v>1994</v>
      </c>
      <c r="I400" s="7" t="s">
        <v>1995</v>
      </c>
      <c r="J400" s="8">
        <f>79384810592</f>
      </c>
      <c r="K400" s="9"/>
      <c r="L400" s="7" t="s">
        <v>54</v>
      </c>
      <c r="M400" s="8">
        <v>188</v>
      </c>
      <c r="N400" s="7" t="s">
        <v>55</v>
      </c>
      <c r="O400" s="7" t="s">
        <v>119</v>
      </c>
      <c r="P400" s="7" t="s">
        <v>1996</v>
      </c>
      <c r="Q400" s="8" t="s">
        <v>112</v>
      </c>
      <c r="R400" s="7" t="s">
        <v>33</v>
      </c>
      <c r="S400" s="7" t="s">
        <v>34</v>
      </c>
      <c r="T400" s="10">
        <v>0</v>
      </c>
      <c r="U400" s="7"/>
      <c r="V400" s="10">
        <v>0</v>
      </c>
      <c r="W400" s="7" t="s">
        <v>48</v>
      </c>
      <c r="X400" s="10" t="s">
        <v>36</v>
      </c>
      <c r="Y400" s="7" t="s">
        <v>84</v>
      </c>
    </row>
    <row x14ac:dyDescent="0.25" r="401" customHeight="1" ht="18.75">
      <c r="A401" s="11">
        <v>74021494</v>
      </c>
      <c r="B401" s="12">
        <v>1178</v>
      </c>
      <c r="C401" s="13" t="s">
        <v>1997</v>
      </c>
      <c r="D401" s="13" t="s">
        <v>1998</v>
      </c>
      <c r="E401" s="14">
        <v>74021494</v>
      </c>
      <c r="F401" s="14">
        <v>1178</v>
      </c>
      <c r="G401" s="13" t="s">
        <v>27</v>
      </c>
      <c r="H401" s="13" t="s">
        <v>1999</v>
      </c>
      <c r="I401" s="13" t="s">
        <v>2000</v>
      </c>
      <c r="J401" s="14">
        <f>79626900262</f>
      </c>
      <c r="K401" s="9"/>
      <c r="L401" s="13" t="s">
        <v>54</v>
      </c>
      <c r="M401" s="14">
        <v>188</v>
      </c>
      <c r="N401" s="13" t="s">
        <v>55</v>
      </c>
      <c r="O401" s="13" t="s">
        <v>56</v>
      </c>
      <c r="P401" s="13" t="s">
        <v>57</v>
      </c>
      <c r="Q401" s="14" t="s">
        <v>2001</v>
      </c>
      <c r="R401" s="13" t="s">
        <v>33</v>
      </c>
      <c r="S401" s="13" t="s">
        <v>34</v>
      </c>
      <c r="T401" s="15">
        <v>0</v>
      </c>
      <c r="U401" s="13"/>
      <c r="V401" s="15">
        <v>0</v>
      </c>
      <c r="W401" s="13" t="s">
        <v>48</v>
      </c>
      <c r="X401" s="15" t="s">
        <v>36</v>
      </c>
      <c r="Y401" s="13" t="s">
        <v>37</v>
      </c>
    </row>
    <row x14ac:dyDescent="0.25" r="402" customHeight="1" ht="18.75">
      <c r="A402" s="5">
        <v>74021495</v>
      </c>
      <c r="B402" s="6">
        <v>1179</v>
      </c>
      <c r="C402" s="7" t="s">
        <v>2002</v>
      </c>
      <c r="D402" s="7" t="s">
        <v>2003</v>
      </c>
      <c r="E402" s="8">
        <v>74021495</v>
      </c>
      <c r="F402" s="8">
        <v>1179</v>
      </c>
      <c r="G402" s="7" t="s">
        <v>27</v>
      </c>
      <c r="H402" s="7" t="s">
        <v>2004</v>
      </c>
      <c r="I402" s="7" t="s">
        <v>2005</v>
      </c>
      <c r="J402" s="8">
        <f>79312579795</f>
      </c>
      <c r="K402" s="9"/>
      <c r="L402" s="7" t="s">
        <v>54</v>
      </c>
      <c r="M402" s="8">
        <v>188</v>
      </c>
      <c r="N402" s="7" t="s">
        <v>55</v>
      </c>
      <c r="O402" s="7" t="s">
        <v>56</v>
      </c>
      <c r="P402" s="7" t="s">
        <v>1421</v>
      </c>
      <c r="Q402" s="8" t="s">
        <v>112</v>
      </c>
      <c r="R402" s="7" t="s">
        <v>33</v>
      </c>
      <c r="S402" s="7" t="s">
        <v>34</v>
      </c>
      <c r="T402" s="10">
        <v>0</v>
      </c>
      <c r="U402" s="7"/>
      <c r="V402" s="10">
        <v>0</v>
      </c>
      <c r="W402" s="7" t="s">
        <v>48</v>
      </c>
      <c r="X402" s="10" t="s">
        <v>65</v>
      </c>
      <c r="Y402" s="7" t="s">
        <v>59</v>
      </c>
    </row>
    <row x14ac:dyDescent="0.25" r="403" customHeight="1" ht="18.75">
      <c r="A403" s="11">
        <v>74221499</v>
      </c>
      <c r="B403" s="12">
        <v>1184</v>
      </c>
      <c r="C403" s="13" t="s">
        <v>2006</v>
      </c>
      <c r="D403" s="13" t="s">
        <v>2007</v>
      </c>
      <c r="E403" s="14">
        <v>74321499</v>
      </c>
      <c r="F403" s="14">
        <v>1184</v>
      </c>
      <c r="G403" s="13" t="s">
        <v>27</v>
      </c>
      <c r="H403" s="13" t="s">
        <v>2008</v>
      </c>
      <c r="I403" s="13" t="s">
        <v>2009</v>
      </c>
      <c r="J403" s="14">
        <f>74952408424</f>
      </c>
      <c r="K403" s="14">
        <v>6481</v>
      </c>
      <c r="L403" s="13" t="s">
        <v>1276</v>
      </c>
      <c r="M403" s="14">
        <v>105</v>
      </c>
      <c r="N403" s="13" t="s">
        <v>1277</v>
      </c>
      <c r="O403" s="13" t="s">
        <v>73</v>
      </c>
      <c r="P403" s="13" t="s">
        <v>1872</v>
      </c>
      <c r="Q403" s="14" t="s">
        <v>2010</v>
      </c>
      <c r="R403" s="13" t="s">
        <v>33</v>
      </c>
      <c r="S403" s="13" t="s">
        <v>47</v>
      </c>
      <c r="T403" s="15">
        <v>2</v>
      </c>
      <c r="U403" s="13"/>
      <c r="V403" s="15">
        <v>0</v>
      </c>
      <c r="W403" s="13" t="s">
        <v>48</v>
      </c>
      <c r="X403" s="15" t="s">
        <v>36</v>
      </c>
      <c r="Y403" s="13" t="s">
        <v>37</v>
      </c>
    </row>
    <row x14ac:dyDescent="0.25" r="404" customHeight="1" ht="18.75">
      <c r="A404" s="5">
        <v>74021503</v>
      </c>
      <c r="B404" s="6">
        <v>1185</v>
      </c>
      <c r="C404" s="7" t="s">
        <v>2011</v>
      </c>
      <c r="D404" s="7" t="s">
        <v>2012</v>
      </c>
      <c r="E404" s="8">
        <v>74021503</v>
      </c>
      <c r="F404" s="8">
        <v>1185</v>
      </c>
      <c r="G404" s="7" t="s">
        <v>27</v>
      </c>
      <c r="H404" s="7" t="s">
        <v>2013</v>
      </c>
      <c r="I404" s="7" t="s">
        <v>2014</v>
      </c>
      <c r="J404" s="8">
        <f>74951980994</f>
      </c>
      <c r="K404" s="9"/>
      <c r="L404" s="7" t="s">
        <v>80</v>
      </c>
      <c r="M404" s="8">
        <v>167</v>
      </c>
      <c r="N404" s="7" t="s">
        <v>2015</v>
      </c>
      <c r="O404" s="7" t="s">
        <v>32</v>
      </c>
      <c r="P404" s="7" t="s">
        <v>32</v>
      </c>
      <c r="Q404" s="8" t="s">
        <v>58</v>
      </c>
      <c r="R404" s="7" t="s">
        <v>33</v>
      </c>
      <c r="S404" s="7" t="s">
        <v>34</v>
      </c>
      <c r="T404" s="10">
        <v>0</v>
      </c>
      <c r="U404" s="7" t="s">
        <v>48</v>
      </c>
      <c r="V404" s="10" t="s">
        <v>214</v>
      </c>
      <c r="W404" s="7" t="s">
        <v>35</v>
      </c>
      <c r="X404" s="10" t="s">
        <v>36</v>
      </c>
      <c r="Y404" s="7" t="s">
        <v>37</v>
      </c>
    </row>
    <row x14ac:dyDescent="0.25" r="405" customHeight="1" ht="18.75">
      <c r="A405" s="11">
        <v>74021505</v>
      </c>
      <c r="B405" s="12">
        <v>1187</v>
      </c>
      <c r="C405" s="13" t="s">
        <v>2016</v>
      </c>
      <c r="D405" s="13" t="s">
        <v>2017</v>
      </c>
      <c r="E405" s="14">
        <v>74021505</v>
      </c>
      <c r="F405" s="14">
        <v>1187</v>
      </c>
      <c r="G405" s="13" t="s">
        <v>27</v>
      </c>
      <c r="H405" s="13" t="s">
        <v>2018</v>
      </c>
      <c r="I405" s="13" t="s">
        <v>2019</v>
      </c>
      <c r="J405" s="14">
        <f>74951980945</f>
      </c>
      <c r="K405" s="9"/>
      <c r="L405" s="13" t="s">
        <v>80</v>
      </c>
      <c r="M405" s="14">
        <v>168</v>
      </c>
      <c r="N405" s="13" t="s">
        <v>2020</v>
      </c>
      <c r="O405" s="13" t="s">
        <v>32</v>
      </c>
      <c r="P405" s="13" t="s">
        <v>32</v>
      </c>
      <c r="Q405" s="14" t="s">
        <v>58</v>
      </c>
      <c r="R405" s="13" t="s">
        <v>33</v>
      </c>
      <c r="S405" s="13" t="s">
        <v>34</v>
      </c>
      <c r="T405" s="15">
        <v>0</v>
      </c>
      <c r="U405" s="13" t="s">
        <v>35</v>
      </c>
      <c r="V405" s="15" t="s">
        <v>195</v>
      </c>
      <c r="W405" s="13" t="s">
        <v>48</v>
      </c>
      <c r="X405" s="15" t="s">
        <v>36</v>
      </c>
      <c r="Y405" s="13" t="s">
        <v>59</v>
      </c>
    </row>
    <row x14ac:dyDescent="0.25" r="406" customHeight="1" ht="18.75">
      <c r="A406" s="5">
        <v>74021506</v>
      </c>
      <c r="B406" s="6">
        <v>1188</v>
      </c>
      <c r="C406" s="7" t="s">
        <v>2021</v>
      </c>
      <c r="D406" s="7" t="s">
        <v>2022</v>
      </c>
      <c r="E406" s="8">
        <v>74021506</v>
      </c>
      <c r="F406" s="8">
        <v>1188</v>
      </c>
      <c r="G406" s="7" t="s">
        <v>27</v>
      </c>
      <c r="H406" s="7" t="s">
        <v>2023</v>
      </c>
      <c r="I406" s="7" t="s">
        <v>2024</v>
      </c>
      <c r="J406" s="8">
        <f>74951980985</f>
      </c>
      <c r="K406" s="9"/>
      <c r="L406" s="7" t="s">
        <v>80</v>
      </c>
      <c r="M406" s="8">
        <v>169</v>
      </c>
      <c r="N406" s="7" t="s">
        <v>2025</v>
      </c>
      <c r="O406" s="7" t="s">
        <v>32</v>
      </c>
      <c r="P406" s="7" t="s">
        <v>32</v>
      </c>
      <c r="Q406" s="8" t="s">
        <v>58</v>
      </c>
      <c r="R406" s="7" t="s">
        <v>33</v>
      </c>
      <c r="S406" s="7" t="s">
        <v>34</v>
      </c>
      <c r="T406" s="10">
        <v>0</v>
      </c>
      <c r="U406" s="7" t="s">
        <v>48</v>
      </c>
      <c r="V406" s="10" t="s">
        <v>214</v>
      </c>
      <c r="W406" s="7" t="s">
        <v>35</v>
      </c>
      <c r="X406" s="10" t="s">
        <v>36</v>
      </c>
      <c r="Y406" s="7" t="s">
        <v>59</v>
      </c>
    </row>
    <row x14ac:dyDescent="0.25" r="407" customHeight="1" ht="18.75">
      <c r="A407" s="11">
        <v>74021508</v>
      </c>
      <c r="B407" s="12">
        <v>1190</v>
      </c>
      <c r="C407" s="13" t="s">
        <v>2026</v>
      </c>
      <c r="D407" s="13" t="s">
        <v>2027</v>
      </c>
      <c r="E407" s="14">
        <v>74021508</v>
      </c>
      <c r="F407" s="14">
        <v>1190</v>
      </c>
      <c r="G407" s="13" t="s">
        <v>27</v>
      </c>
      <c r="H407" s="13" t="s">
        <v>2028</v>
      </c>
      <c r="I407" s="13" t="s">
        <v>2029</v>
      </c>
      <c r="J407" s="14">
        <f>74950232556</f>
      </c>
      <c r="K407" s="9"/>
      <c r="L407" s="13" t="s">
        <v>1334</v>
      </c>
      <c r="M407" s="14">
        <v>123</v>
      </c>
      <c r="N407" s="13" t="s">
        <v>1335</v>
      </c>
      <c r="O407" s="13" t="s">
        <v>32</v>
      </c>
      <c r="P407" s="13" t="s">
        <v>32</v>
      </c>
      <c r="Q407" s="14" t="s">
        <v>58</v>
      </c>
      <c r="R407" s="13" t="s">
        <v>33</v>
      </c>
      <c r="S407" s="13" t="s">
        <v>34</v>
      </c>
      <c r="T407" s="15">
        <v>0</v>
      </c>
      <c r="U407" s="13" t="s">
        <v>48</v>
      </c>
      <c r="V407" s="15" t="s">
        <v>64</v>
      </c>
      <c r="W407" s="13" t="s">
        <v>35</v>
      </c>
      <c r="X407" s="15" t="s">
        <v>65</v>
      </c>
      <c r="Y407" s="13" t="s">
        <v>59</v>
      </c>
    </row>
    <row x14ac:dyDescent="0.25" r="408" customHeight="1" ht="18.75">
      <c r="A408" s="5">
        <v>74021511</v>
      </c>
      <c r="B408" s="6">
        <v>1193</v>
      </c>
      <c r="C408" s="7" t="s">
        <v>2030</v>
      </c>
      <c r="D408" s="7" t="s">
        <v>2031</v>
      </c>
      <c r="E408" s="8">
        <v>74021511</v>
      </c>
      <c r="F408" s="8">
        <v>1193</v>
      </c>
      <c r="G408" s="7" t="s">
        <v>27</v>
      </c>
      <c r="H408" s="7" t="s">
        <v>2032</v>
      </c>
      <c r="I408" s="7" t="s">
        <v>2033</v>
      </c>
      <c r="J408" s="8">
        <f>74952120000</f>
      </c>
      <c r="K408" s="8">
        <v>5007</v>
      </c>
      <c r="L408" s="7" t="s">
        <v>2034</v>
      </c>
      <c r="M408" s="8">
        <v>141</v>
      </c>
      <c r="N408" s="7" t="s">
        <v>2035</v>
      </c>
      <c r="O408" s="7" t="s">
        <v>82</v>
      </c>
      <c r="P408" s="7" t="s">
        <v>2036</v>
      </c>
      <c r="Q408" s="8" t="s">
        <v>2037</v>
      </c>
      <c r="R408" s="7" t="s">
        <v>33</v>
      </c>
      <c r="S408" s="7" t="s">
        <v>47</v>
      </c>
      <c r="T408" s="10">
        <v>1</v>
      </c>
      <c r="U408" s="7"/>
      <c r="V408" s="10">
        <v>0</v>
      </c>
      <c r="W408" s="7"/>
      <c r="X408" s="10">
        <v>0</v>
      </c>
      <c r="Y408" s="7" t="s">
        <v>37</v>
      </c>
    </row>
    <row x14ac:dyDescent="0.25" r="409" customHeight="1" ht="18.75">
      <c r="A409" s="11">
        <v>74021512</v>
      </c>
      <c r="B409" s="12">
        <v>1194</v>
      </c>
      <c r="C409" s="13" t="s">
        <v>2038</v>
      </c>
      <c r="D409" s="13" t="s">
        <v>2039</v>
      </c>
      <c r="E409" s="14">
        <v>74021512</v>
      </c>
      <c r="F409" s="14">
        <v>1194</v>
      </c>
      <c r="G409" s="13" t="s">
        <v>27</v>
      </c>
      <c r="H409" s="13" t="s">
        <v>2040</v>
      </c>
      <c r="I409" s="13" t="s">
        <v>2041</v>
      </c>
      <c r="J409" s="14">
        <f>74952120000</f>
      </c>
      <c r="K409" s="14">
        <v>5010</v>
      </c>
      <c r="L409" s="13" t="s">
        <v>2034</v>
      </c>
      <c r="M409" s="14">
        <v>141</v>
      </c>
      <c r="N409" s="13" t="s">
        <v>2035</v>
      </c>
      <c r="O409" s="13" t="s">
        <v>82</v>
      </c>
      <c r="P409" s="13" t="s">
        <v>2042</v>
      </c>
      <c r="Q409" s="14" t="s">
        <v>2043</v>
      </c>
      <c r="R409" s="13" t="s">
        <v>33</v>
      </c>
      <c r="S409" s="13" t="s">
        <v>34</v>
      </c>
      <c r="T409" s="15">
        <v>3</v>
      </c>
      <c r="U409" s="13"/>
      <c r="V409" s="15">
        <v>0</v>
      </c>
      <c r="W409" s="13"/>
      <c r="X409" s="15">
        <v>0</v>
      </c>
      <c r="Y409" s="13" t="s">
        <v>37</v>
      </c>
    </row>
    <row x14ac:dyDescent="0.25" r="410" customHeight="1" ht="18.75">
      <c r="A410" s="5">
        <v>74021517</v>
      </c>
      <c r="B410" s="6">
        <v>1199</v>
      </c>
      <c r="C410" s="7" t="s">
        <v>2044</v>
      </c>
      <c r="D410" s="7" t="s">
        <v>2045</v>
      </c>
      <c r="E410" s="8">
        <v>74021517</v>
      </c>
      <c r="F410" s="8">
        <v>1199</v>
      </c>
      <c r="G410" s="7" t="s">
        <v>27</v>
      </c>
      <c r="H410" s="7" t="s">
        <v>2046</v>
      </c>
      <c r="I410" s="7" t="s">
        <v>2047</v>
      </c>
      <c r="J410" s="8">
        <f>74952120000</f>
      </c>
      <c r="K410" s="8">
        <v>5035</v>
      </c>
      <c r="L410" s="7" t="s">
        <v>2034</v>
      </c>
      <c r="M410" s="8">
        <v>141</v>
      </c>
      <c r="N410" s="7" t="s">
        <v>2035</v>
      </c>
      <c r="O410" s="7" t="s">
        <v>82</v>
      </c>
      <c r="P410" s="7" t="s">
        <v>2048</v>
      </c>
      <c r="Q410" s="8" t="s">
        <v>2049</v>
      </c>
      <c r="R410" s="7" t="s">
        <v>33</v>
      </c>
      <c r="S410" s="7" t="s">
        <v>47</v>
      </c>
      <c r="T410" s="10">
        <v>1</v>
      </c>
      <c r="U410" s="7"/>
      <c r="V410" s="10">
        <v>0</v>
      </c>
      <c r="W410" s="7"/>
      <c r="X410" s="10">
        <v>0</v>
      </c>
      <c r="Y410" s="7" t="s">
        <v>37</v>
      </c>
    </row>
    <row x14ac:dyDescent="0.25" r="411" customHeight="1" ht="18.75">
      <c r="A411" s="11">
        <v>74021520</v>
      </c>
      <c r="B411" s="12">
        <v>1202</v>
      </c>
      <c r="C411" s="13" t="s">
        <v>2050</v>
      </c>
      <c r="D411" s="13" t="s">
        <v>2051</v>
      </c>
      <c r="E411" s="14">
        <v>74021520</v>
      </c>
      <c r="F411" s="14">
        <v>1202</v>
      </c>
      <c r="G411" s="13" t="s">
        <v>27</v>
      </c>
      <c r="H411" s="13" t="s">
        <v>2052</v>
      </c>
      <c r="I411" s="13" t="s">
        <v>2053</v>
      </c>
      <c r="J411" s="14">
        <f>74952120000</f>
      </c>
      <c r="K411" s="14">
        <v>5043</v>
      </c>
      <c r="L411" s="13" t="s">
        <v>2034</v>
      </c>
      <c r="M411" s="14">
        <v>141</v>
      </c>
      <c r="N411" s="13" t="s">
        <v>2035</v>
      </c>
      <c r="O411" s="13" t="s">
        <v>82</v>
      </c>
      <c r="P411" s="13" t="s">
        <v>2054</v>
      </c>
      <c r="Q411" s="14" t="s">
        <v>2055</v>
      </c>
      <c r="R411" s="13" t="s">
        <v>33</v>
      </c>
      <c r="S411" s="13" t="s">
        <v>47</v>
      </c>
      <c r="T411" s="15">
        <v>1</v>
      </c>
      <c r="U411" s="13"/>
      <c r="V411" s="15">
        <v>0</v>
      </c>
      <c r="W411" s="13"/>
      <c r="X411" s="15">
        <v>0</v>
      </c>
      <c r="Y411" s="13" t="s">
        <v>37</v>
      </c>
    </row>
    <row x14ac:dyDescent="0.25" r="412" customHeight="1" ht="18.75">
      <c r="A412" s="5">
        <v>74021521</v>
      </c>
      <c r="B412" s="6">
        <v>1203</v>
      </c>
      <c r="C412" s="7" t="s">
        <v>2056</v>
      </c>
      <c r="D412" s="7" t="s">
        <v>2057</v>
      </c>
      <c r="E412" s="8">
        <v>74021521</v>
      </c>
      <c r="F412" s="8">
        <v>1203</v>
      </c>
      <c r="G412" s="7" t="s">
        <v>27</v>
      </c>
      <c r="H412" s="7" t="s">
        <v>2058</v>
      </c>
      <c r="I412" s="7" t="s">
        <v>2059</v>
      </c>
      <c r="J412" s="8">
        <f>74952120000</f>
      </c>
      <c r="K412" s="8">
        <v>5047</v>
      </c>
      <c r="L412" s="7" t="s">
        <v>2034</v>
      </c>
      <c r="M412" s="8">
        <v>141</v>
      </c>
      <c r="N412" s="7" t="s">
        <v>2035</v>
      </c>
      <c r="O412" s="7" t="s">
        <v>82</v>
      </c>
      <c r="P412" s="7" t="s">
        <v>2060</v>
      </c>
      <c r="Q412" s="8" t="s">
        <v>2061</v>
      </c>
      <c r="R412" s="7" t="s">
        <v>33</v>
      </c>
      <c r="S412" s="7" t="s">
        <v>47</v>
      </c>
      <c r="T412" s="10">
        <v>1</v>
      </c>
      <c r="U412" s="7"/>
      <c r="V412" s="10">
        <v>0</v>
      </c>
      <c r="W412" s="7"/>
      <c r="X412" s="10">
        <v>0</v>
      </c>
      <c r="Y412" s="7" t="s">
        <v>37</v>
      </c>
    </row>
    <row x14ac:dyDescent="0.25" r="413" customHeight="1" ht="18.75">
      <c r="A413" s="11">
        <v>74021526</v>
      </c>
      <c r="B413" s="12">
        <v>1208</v>
      </c>
      <c r="C413" s="13" t="s">
        <v>2062</v>
      </c>
      <c r="D413" s="13" t="s">
        <v>2063</v>
      </c>
      <c r="E413" s="14">
        <v>74021526</v>
      </c>
      <c r="F413" s="14">
        <v>1208</v>
      </c>
      <c r="G413" s="13" t="s">
        <v>27</v>
      </c>
      <c r="H413" s="13" t="s">
        <v>2064</v>
      </c>
      <c r="I413" s="13" t="s">
        <v>2065</v>
      </c>
      <c r="J413" s="14">
        <f>74952120000</f>
      </c>
      <c r="K413" s="14">
        <v>5065</v>
      </c>
      <c r="L413" s="13" t="s">
        <v>2034</v>
      </c>
      <c r="M413" s="14">
        <v>141</v>
      </c>
      <c r="N413" s="13" t="s">
        <v>2035</v>
      </c>
      <c r="O413" s="13" t="s">
        <v>82</v>
      </c>
      <c r="P413" s="13" t="s">
        <v>2066</v>
      </c>
      <c r="Q413" s="14" t="s">
        <v>2067</v>
      </c>
      <c r="R413" s="13" t="s">
        <v>33</v>
      </c>
      <c r="S413" s="13" t="s">
        <v>47</v>
      </c>
      <c r="T413" s="15">
        <v>1</v>
      </c>
      <c r="U413" s="13"/>
      <c r="V413" s="15">
        <v>0</v>
      </c>
      <c r="W413" s="13"/>
      <c r="X413" s="15">
        <v>0</v>
      </c>
      <c r="Y413" s="13" t="s">
        <v>37</v>
      </c>
    </row>
    <row x14ac:dyDescent="0.25" r="414" customHeight="1" ht="18.75">
      <c r="A414" s="5">
        <v>74021527</v>
      </c>
      <c r="B414" s="6">
        <v>1209</v>
      </c>
      <c r="C414" s="7" t="s">
        <v>2068</v>
      </c>
      <c r="D414" s="7" t="s">
        <v>2069</v>
      </c>
      <c r="E414" s="8">
        <v>74021527</v>
      </c>
      <c r="F414" s="8">
        <v>1209</v>
      </c>
      <c r="G414" s="7" t="s">
        <v>27</v>
      </c>
      <c r="H414" s="7" t="s">
        <v>2070</v>
      </c>
      <c r="I414" s="7" t="s">
        <v>2071</v>
      </c>
      <c r="J414" s="8">
        <f>74951980939</f>
      </c>
      <c r="K414" s="9"/>
      <c r="L414" s="7" t="s">
        <v>80</v>
      </c>
      <c r="M414" s="8">
        <v>171</v>
      </c>
      <c r="N414" s="7" t="s">
        <v>2072</v>
      </c>
      <c r="O414" s="7" t="s">
        <v>32</v>
      </c>
      <c r="P414" s="7" t="s">
        <v>32</v>
      </c>
      <c r="Q414" s="8" t="s">
        <v>58</v>
      </c>
      <c r="R414" s="7" t="s">
        <v>33</v>
      </c>
      <c r="S414" s="7" t="s">
        <v>34</v>
      </c>
      <c r="T414" s="10">
        <v>0</v>
      </c>
      <c r="U414" s="7" t="s">
        <v>48</v>
      </c>
      <c r="V414" s="10" t="s">
        <v>214</v>
      </c>
      <c r="W414" s="7" t="s">
        <v>35</v>
      </c>
      <c r="X414" s="10" t="s">
        <v>36</v>
      </c>
      <c r="Y414" s="7" t="s">
        <v>37</v>
      </c>
    </row>
    <row x14ac:dyDescent="0.25" r="415" customHeight="1" ht="18.75">
      <c r="A415" s="11">
        <v>74021529</v>
      </c>
      <c r="B415" s="12">
        <v>1212</v>
      </c>
      <c r="C415" s="13" t="s">
        <v>2073</v>
      </c>
      <c r="D415" s="13" t="s">
        <v>2074</v>
      </c>
      <c r="E415" s="14">
        <v>74021529</v>
      </c>
      <c r="F415" s="14">
        <v>1212</v>
      </c>
      <c r="G415" s="13" t="s">
        <v>27</v>
      </c>
      <c r="H415" s="13" t="s">
        <v>2075</v>
      </c>
      <c r="I415" s="13" t="s">
        <v>2076</v>
      </c>
      <c r="J415" s="14">
        <f>74952120000</f>
      </c>
      <c r="K415" s="14">
        <v>5069</v>
      </c>
      <c r="L415" s="13" t="s">
        <v>2034</v>
      </c>
      <c r="M415" s="14">
        <v>141</v>
      </c>
      <c r="N415" s="13" t="s">
        <v>2035</v>
      </c>
      <c r="O415" s="13" t="s">
        <v>82</v>
      </c>
      <c r="P415" s="13" t="s">
        <v>2077</v>
      </c>
      <c r="Q415" s="14" t="s">
        <v>2078</v>
      </c>
      <c r="R415" s="13" t="s">
        <v>33</v>
      </c>
      <c r="S415" s="13" t="s">
        <v>47</v>
      </c>
      <c r="T415" s="15">
        <v>2</v>
      </c>
      <c r="U415" s="13"/>
      <c r="V415" s="15">
        <v>0</v>
      </c>
      <c r="W415" s="13"/>
      <c r="X415" s="15">
        <v>0</v>
      </c>
      <c r="Y415" s="13" t="s">
        <v>37</v>
      </c>
    </row>
    <row x14ac:dyDescent="0.25" r="416" customHeight="1" ht="18.75">
      <c r="A416" s="5">
        <v>74021531</v>
      </c>
      <c r="B416" s="6">
        <v>1214</v>
      </c>
      <c r="C416" s="7" t="s">
        <v>2079</v>
      </c>
      <c r="D416" s="7" t="s">
        <v>2080</v>
      </c>
      <c r="E416" s="8">
        <v>74021531</v>
      </c>
      <c r="F416" s="8">
        <v>1214</v>
      </c>
      <c r="G416" s="7" t="s">
        <v>27</v>
      </c>
      <c r="H416" s="7" t="s">
        <v>2081</v>
      </c>
      <c r="I416" s="7" t="s">
        <v>2082</v>
      </c>
      <c r="J416" s="8">
        <f>74952120000</f>
      </c>
      <c r="K416" s="8">
        <v>5075</v>
      </c>
      <c r="L416" s="7" t="s">
        <v>2034</v>
      </c>
      <c r="M416" s="8">
        <v>141</v>
      </c>
      <c r="N416" s="7" t="s">
        <v>2035</v>
      </c>
      <c r="O416" s="7" t="s">
        <v>82</v>
      </c>
      <c r="P416" s="7" t="s">
        <v>2083</v>
      </c>
      <c r="Q416" s="8" t="s">
        <v>2084</v>
      </c>
      <c r="R416" s="7" t="s">
        <v>33</v>
      </c>
      <c r="S416" s="7" t="s">
        <v>47</v>
      </c>
      <c r="T416" s="10">
        <v>1</v>
      </c>
      <c r="U416" s="7"/>
      <c r="V416" s="10">
        <v>0</v>
      </c>
      <c r="W416" s="7"/>
      <c r="X416" s="10">
        <v>0</v>
      </c>
      <c r="Y416" s="7" t="s">
        <v>37</v>
      </c>
    </row>
    <row x14ac:dyDescent="0.25" r="417" customHeight="1" ht="18.75">
      <c r="A417" s="11">
        <v>74021532</v>
      </c>
      <c r="B417" s="12">
        <v>1215</v>
      </c>
      <c r="C417" s="13" t="s">
        <v>2085</v>
      </c>
      <c r="D417" s="13" t="s">
        <v>2086</v>
      </c>
      <c r="E417" s="14">
        <v>74021532</v>
      </c>
      <c r="F417" s="14">
        <v>1215</v>
      </c>
      <c r="G417" s="13" t="s">
        <v>27</v>
      </c>
      <c r="H417" s="13" t="s">
        <v>2087</v>
      </c>
      <c r="I417" s="13" t="s">
        <v>2088</v>
      </c>
      <c r="J417" s="9"/>
      <c r="K417" s="14"/>
      <c r="L417" s="13" t="s">
        <v>2034</v>
      </c>
      <c r="M417" s="14">
        <v>141</v>
      </c>
      <c r="N417" s="13" t="s">
        <v>2035</v>
      </c>
      <c r="O417" s="13" t="s">
        <v>82</v>
      </c>
      <c r="P417" s="13" t="s">
        <v>2089</v>
      </c>
      <c r="Q417" s="14" t="s">
        <v>2090</v>
      </c>
      <c r="R417" s="13" t="s">
        <v>33</v>
      </c>
      <c r="S417" s="13" t="s">
        <v>47</v>
      </c>
      <c r="T417" s="15">
        <v>1</v>
      </c>
      <c r="U417" s="13"/>
      <c r="V417" s="15">
        <v>0</v>
      </c>
      <c r="W417" s="13"/>
      <c r="X417" s="15">
        <v>0</v>
      </c>
      <c r="Y417" s="13" t="s">
        <v>37</v>
      </c>
    </row>
    <row x14ac:dyDescent="0.25" r="418" customHeight="1" ht="18.75">
      <c r="A418" s="5">
        <v>74021533</v>
      </c>
      <c r="B418" s="6">
        <v>1216</v>
      </c>
      <c r="C418" s="7" t="s">
        <v>2091</v>
      </c>
      <c r="D418" s="7" t="s">
        <v>2092</v>
      </c>
      <c r="E418" s="8">
        <v>74021533</v>
      </c>
      <c r="F418" s="8">
        <v>1216</v>
      </c>
      <c r="G418" s="7" t="s">
        <v>27</v>
      </c>
      <c r="H418" s="7" t="s">
        <v>2093</v>
      </c>
      <c r="I418" s="7" t="s">
        <v>2094</v>
      </c>
      <c r="J418" s="8">
        <f>74952120000</f>
      </c>
      <c r="K418" s="8">
        <v>5079</v>
      </c>
      <c r="L418" s="7" t="s">
        <v>2034</v>
      </c>
      <c r="M418" s="8">
        <v>141</v>
      </c>
      <c r="N418" s="7" t="s">
        <v>2035</v>
      </c>
      <c r="O418" s="7" t="s">
        <v>82</v>
      </c>
      <c r="P418" s="7" t="s">
        <v>1178</v>
      </c>
      <c r="Q418" s="8" t="s">
        <v>2095</v>
      </c>
      <c r="R418" s="7" t="s">
        <v>33</v>
      </c>
      <c r="S418" s="7" t="s">
        <v>47</v>
      </c>
      <c r="T418" s="10">
        <v>2</v>
      </c>
      <c r="U418" s="7"/>
      <c r="V418" s="10">
        <v>0</v>
      </c>
      <c r="W418" s="7"/>
      <c r="X418" s="10">
        <v>0</v>
      </c>
      <c r="Y418" s="7" t="s">
        <v>37</v>
      </c>
    </row>
    <row x14ac:dyDescent="0.25" r="419" customHeight="1" ht="18.75">
      <c r="A419" s="11">
        <v>74021534</v>
      </c>
      <c r="B419" s="12">
        <v>1217</v>
      </c>
      <c r="C419" s="13" t="s">
        <v>2096</v>
      </c>
      <c r="D419" s="13" t="s">
        <v>2097</v>
      </c>
      <c r="E419" s="14">
        <v>74021534</v>
      </c>
      <c r="F419" s="14">
        <v>1217</v>
      </c>
      <c r="G419" s="13" t="s">
        <v>27</v>
      </c>
      <c r="H419" s="13" t="s">
        <v>2098</v>
      </c>
      <c r="I419" s="13" t="s">
        <v>2099</v>
      </c>
      <c r="J419" s="14">
        <f>74952120000</f>
      </c>
      <c r="K419" s="14">
        <v>5081</v>
      </c>
      <c r="L419" s="13" t="s">
        <v>2034</v>
      </c>
      <c r="M419" s="14">
        <v>141</v>
      </c>
      <c r="N419" s="13" t="s">
        <v>2035</v>
      </c>
      <c r="O419" s="13" t="s">
        <v>82</v>
      </c>
      <c r="P419" s="13" t="s">
        <v>2100</v>
      </c>
      <c r="Q419" s="14" t="s">
        <v>2101</v>
      </c>
      <c r="R419" s="13" t="s">
        <v>33</v>
      </c>
      <c r="S419" s="13" t="s">
        <v>47</v>
      </c>
      <c r="T419" s="15">
        <v>2</v>
      </c>
      <c r="U419" s="13"/>
      <c r="V419" s="15">
        <v>0</v>
      </c>
      <c r="W419" s="13"/>
      <c r="X419" s="15">
        <v>0</v>
      </c>
      <c r="Y419" s="13" t="s">
        <v>37</v>
      </c>
    </row>
    <row x14ac:dyDescent="0.25" r="420" customHeight="1" ht="18.75">
      <c r="A420" s="5">
        <v>74021535</v>
      </c>
      <c r="B420" s="6">
        <v>1218</v>
      </c>
      <c r="C420" s="7" t="s">
        <v>2102</v>
      </c>
      <c r="D420" s="7" t="s">
        <v>2103</v>
      </c>
      <c r="E420" s="8">
        <v>74021535</v>
      </c>
      <c r="F420" s="8">
        <v>1218</v>
      </c>
      <c r="G420" s="7" t="s">
        <v>27</v>
      </c>
      <c r="H420" s="7" t="s">
        <v>2104</v>
      </c>
      <c r="I420" s="7" t="s">
        <v>2105</v>
      </c>
      <c r="J420" s="8">
        <f>79805168878</f>
      </c>
      <c r="K420" s="9"/>
      <c r="L420" s="7" t="s">
        <v>230</v>
      </c>
      <c r="M420" s="8">
        <v>100060</v>
      </c>
      <c r="N420" s="7" t="s">
        <v>2106</v>
      </c>
      <c r="O420" s="7" t="s">
        <v>232</v>
      </c>
      <c r="P420" s="7" t="s">
        <v>233</v>
      </c>
      <c r="Q420" s="8" t="s">
        <v>2107</v>
      </c>
      <c r="R420" s="7" t="s">
        <v>33</v>
      </c>
      <c r="S420" s="7" t="s">
        <v>34</v>
      </c>
      <c r="T420" s="10">
        <v>0</v>
      </c>
      <c r="U420" s="7"/>
      <c r="V420" s="10">
        <v>0</v>
      </c>
      <c r="W420" s="7" t="s">
        <v>48</v>
      </c>
      <c r="X420" s="10" t="s">
        <v>36</v>
      </c>
      <c r="Y420" s="7" t="s">
        <v>84</v>
      </c>
    </row>
    <row x14ac:dyDescent="0.25" r="421" customHeight="1" ht="18.75">
      <c r="A421" s="11">
        <v>74021536</v>
      </c>
      <c r="B421" s="12">
        <v>1219</v>
      </c>
      <c r="C421" s="13" t="s">
        <v>2108</v>
      </c>
      <c r="D421" s="13" t="s">
        <v>2109</v>
      </c>
      <c r="E421" s="14">
        <v>74021536</v>
      </c>
      <c r="F421" s="14">
        <v>1219</v>
      </c>
      <c r="G421" s="13" t="s">
        <v>27</v>
      </c>
      <c r="H421" s="13" t="s">
        <v>2110</v>
      </c>
      <c r="I421" s="13" t="s">
        <v>2111</v>
      </c>
      <c r="J421" s="14">
        <f>79060485236</f>
      </c>
      <c r="K421" s="9"/>
      <c r="L421" s="13" t="s">
        <v>544</v>
      </c>
      <c r="M421" s="14">
        <v>74</v>
      </c>
      <c r="N421" s="13" t="s">
        <v>545</v>
      </c>
      <c r="O421" s="13" t="s">
        <v>82</v>
      </c>
      <c r="P421" s="13" t="s">
        <v>1329</v>
      </c>
      <c r="Q421" s="14" t="s">
        <v>58</v>
      </c>
      <c r="R421" s="13" t="s">
        <v>33</v>
      </c>
      <c r="S421" s="13" t="s">
        <v>34</v>
      </c>
      <c r="T421" s="15">
        <v>0</v>
      </c>
      <c r="U421" s="13"/>
      <c r="V421" s="15">
        <v>0</v>
      </c>
      <c r="W421" s="13" t="s">
        <v>48</v>
      </c>
      <c r="X421" s="15" t="s">
        <v>36</v>
      </c>
      <c r="Y421" s="13" t="s">
        <v>37</v>
      </c>
    </row>
    <row x14ac:dyDescent="0.25" r="422" customHeight="1" ht="18.75">
      <c r="A422" s="5">
        <v>74021538</v>
      </c>
      <c r="B422" s="6">
        <v>1221</v>
      </c>
      <c r="C422" s="7" t="s">
        <v>2112</v>
      </c>
      <c r="D422" s="7" t="s">
        <v>2113</v>
      </c>
      <c r="E422" s="8">
        <v>74021538</v>
      </c>
      <c r="F422" s="8">
        <v>1221</v>
      </c>
      <c r="G422" s="7" t="s">
        <v>27</v>
      </c>
      <c r="H422" s="7" t="s">
        <v>2114</v>
      </c>
      <c r="I422" s="7" t="s">
        <v>2115</v>
      </c>
      <c r="J422" s="8">
        <f>79265281890</f>
      </c>
      <c r="K422" s="9"/>
      <c r="L422" s="7" t="s">
        <v>544</v>
      </c>
      <c r="M422" s="8">
        <v>74</v>
      </c>
      <c r="N422" s="7" t="s">
        <v>545</v>
      </c>
      <c r="O422" s="7" t="s">
        <v>82</v>
      </c>
      <c r="P422" s="7" t="s">
        <v>1329</v>
      </c>
      <c r="Q422" s="8" t="s">
        <v>58</v>
      </c>
      <c r="R422" s="7" t="s">
        <v>33</v>
      </c>
      <c r="S422" s="7" t="s">
        <v>34</v>
      </c>
      <c r="T422" s="10">
        <v>0</v>
      </c>
      <c r="U422" s="7" t="s">
        <v>35</v>
      </c>
      <c r="V422" s="10" t="s">
        <v>49</v>
      </c>
      <c r="W422" s="7" t="s">
        <v>48</v>
      </c>
      <c r="X422" s="10" t="s">
        <v>65</v>
      </c>
      <c r="Y422" s="7" t="s">
        <v>37</v>
      </c>
    </row>
    <row x14ac:dyDescent="0.25" r="423" customHeight="1" ht="18.75">
      <c r="A423" s="11">
        <v>74021543</v>
      </c>
      <c r="B423" s="12">
        <v>1222</v>
      </c>
      <c r="C423" s="13" t="s">
        <v>2116</v>
      </c>
      <c r="D423" s="13" t="s">
        <v>2117</v>
      </c>
      <c r="E423" s="14">
        <v>74021543</v>
      </c>
      <c r="F423" s="14">
        <v>1222</v>
      </c>
      <c r="G423" s="13" t="s">
        <v>27</v>
      </c>
      <c r="H423" s="13" t="s">
        <v>2118</v>
      </c>
      <c r="I423" s="13" t="s">
        <v>2119</v>
      </c>
      <c r="J423" s="14">
        <f>74951980940</f>
      </c>
      <c r="K423" s="9"/>
      <c r="L423" s="13" t="s">
        <v>80</v>
      </c>
      <c r="M423" s="14">
        <v>171</v>
      </c>
      <c r="N423" s="13" t="s">
        <v>2072</v>
      </c>
      <c r="O423" s="13" t="s">
        <v>32</v>
      </c>
      <c r="P423" s="13" t="s">
        <v>32</v>
      </c>
      <c r="Q423" s="14" t="s">
        <v>58</v>
      </c>
      <c r="R423" s="13" t="s">
        <v>33</v>
      </c>
      <c r="S423" s="13" t="s">
        <v>34</v>
      </c>
      <c r="T423" s="15">
        <v>0</v>
      </c>
      <c r="U423" s="13" t="s">
        <v>35</v>
      </c>
      <c r="V423" s="15" t="s">
        <v>214</v>
      </c>
      <c r="W423" s="13" t="s">
        <v>48</v>
      </c>
      <c r="X423" s="15" t="s">
        <v>712</v>
      </c>
      <c r="Y423" s="13" t="s">
        <v>37</v>
      </c>
    </row>
    <row x14ac:dyDescent="0.25" r="424" customHeight="1" ht="18.75">
      <c r="A424" s="5">
        <v>74021545</v>
      </c>
      <c r="B424" s="6">
        <v>1224</v>
      </c>
      <c r="C424" s="7" t="s">
        <v>2120</v>
      </c>
      <c r="D424" s="7" t="s">
        <v>2121</v>
      </c>
      <c r="E424" s="8">
        <v>74021545</v>
      </c>
      <c r="F424" s="8">
        <v>1224</v>
      </c>
      <c r="G424" s="7" t="s">
        <v>27</v>
      </c>
      <c r="H424" s="7" t="s">
        <v>2122</v>
      </c>
      <c r="I424" s="7" t="s">
        <v>2123</v>
      </c>
      <c r="J424" s="8">
        <f>79312574850</f>
      </c>
      <c r="K424" s="9"/>
      <c r="L424" s="7" t="s">
        <v>54</v>
      </c>
      <c r="M424" s="8">
        <v>188</v>
      </c>
      <c r="N424" s="7" t="s">
        <v>55</v>
      </c>
      <c r="O424" s="7" t="s">
        <v>56</v>
      </c>
      <c r="P424" s="7" t="s">
        <v>57</v>
      </c>
      <c r="Q424" s="8" t="s">
        <v>58</v>
      </c>
      <c r="R424" s="7" t="s">
        <v>33</v>
      </c>
      <c r="S424" s="7" t="s">
        <v>34</v>
      </c>
      <c r="T424" s="10">
        <v>0</v>
      </c>
      <c r="U424" s="7"/>
      <c r="V424" s="10">
        <v>0</v>
      </c>
      <c r="W424" s="7" t="s">
        <v>48</v>
      </c>
      <c r="X424" s="10" t="s">
        <v>36</v>
      </c>
      <c r="Y424" s="7" t="s">
        <v>37</v>
      </c>
    </row>
    <row x14ac:dyDescent="0.25" r="425" customHeight="1" ht="18.75">
      <c r="A425" s="11">
        <v>74021540</v>
      </c>
      <c r="B425" s="12">
        <v>1225</v>
      </c>
      <c r="C425" s="13" t="s">
        <v>2124</v>
      </c>
      <c r="D425" s="13" t="s">
        <v>2125</v>
      </c>
      <c r="E425" s="14">
        <v>74021540</v>
      </c>
      <c r="F425" s="14">
        <v>1225</v>
      </c>
      <c r="G425" s="13" t="s">
        <v>27</v>
      </c>
      <c r="H425" s="13" t="s">
        <v>2126</v>
      </c>
      <c r="I425" s="13" t="s">
        <v>2127</v>
      </c>
      <c r="J425" s="14">
        <f>73422073072</f>
      </c>
      <c r="K425" s="9"/>
      <c r="L425" s="13" t="s">
        <v>42</v>
      </c>
      <c r="M425" s="14">
        <v>172</v>
      </c>
      <c r="N425" s="13" t="s">
        <v>2128</v>
      </c>
      <c r="O425" s="13" t="s">
        <v>96</v>
      </c>
      <c r="P425" s="13" t="s">
        <v>978</v>
      </c>
      <c r="Q425" s="14" t="s">
        <v>2125</v>
      </c>
      <c r="R425" s="13" t="s">
        <v>33</v>
      </c>
      <c r="S425" s="13" t="s">
        <v>34</v>
      </c>
      <c r="T425" s="15">
        <v>0</v>
      </c>
      <c r="U425" s="13"/>
      <c r="V425" s="15">
        <v>0</v>
      </c>
      <c r="W425" s="13" t="s">
        <v>48</v>
      </c>
      <c r="X425" s="15" t="s">
        <v>36</v>
      </c>
      <c r="Y425" s="13" t="s">
        <v>59</v>
      </c>
    </row>
    <row x14ac:dyDescent="0.25" r="426" customHeight="1" ht="18.75">
      <c r="A426" s="5">
        <v>74021541</v>
      </c>
      <c r="B426" s="6">
        <v>1226</v>
      </c>
      <c r="C426" s="7" t="s">
        <v>2129</v>
      </c>
      <c r="D426" s="7" t="s">
        <v>2130</v>
      </c>
      <c r="E426" s="8">
        <v>74021541</v>
      </c>
      <c r="F426" s="8">
        <v>1226</v>
      </c>
      <c r="G426" s="7" t="s">
        <v>27</v>
      </c>
      <c r="H426" s="7" t="s">
        <v>2131</v>
      </c>
      <c r="I426" s="7" t="s">
        <v>2132</v>
      </c>
      <c r="J426" s="8">
        <f>74950210957</f>
      </c>
      <c r="K426" s="9"/>
      <c r="L426" s="7" t="s">
        <v>1334</v>
      </c>
      <c r="M426" s="8">
        <v>123</v>
      </c>
      <c r="N426" s="7" t="s">
        <v>1335</v>
      </c>
      <c r="O426" s="7" t="s">
        <v>32</v>
      </c>
      <c r="P426" s="7" t="s">
        <v>32</v>
      </c>
      <c r="Q426" s="8" t="s">
        <v>58</v>
      </c>
      <c r="R426" s="7" t="s">
        <v>33</v>
      </c>
      <c r="S426" s="7" t="s">
        <v>34</v>
      </c>
      <c r="T426" s="10">
        <v>0</v>
      </c>
      <c r="U426" s="7"/>
      <c r="V426" s="10">
        <v>0</v>
      </c>
      <c r="W426" s="7" t="s">
        <v>48</v>
      </c>
      <c r="X426" s="10" t="s">
        <v>65</v>
      </c>
      <c r="Y426" s="7" t="s">
        <v>37</v>
      </c>
    </row>
    <row x14ac:dyDescent="0.25" r="427" customHeight="1" ht="18.75">
      <c r="A427" s="11">
        <v>74021542</v>
      </c>
      <c r="B427" s="12">
        <v>1227</v>
      </c>
      <c r="C427" s="13" t="s">
        <v>2133</v>
      </c>
      <c r="D427" s="13" t="s">
        <v>2134</v>
      </c>
      <c r="E427" s="14">
        <v>74021542</v>
      </c>
      <c r="F427" s="14">
        <v>1227</v>
      </c>
      <c r="G427" s="13" t="s">
        <v>27</v>
      </c>
      <c r="H427" s="13" t="s">
        <v>2135</v>
      </c>
      <c r="I427" s="13" t="s">
        <v>2136</v>
      </c>
      <c r="J427" s="14">
        <f>74950210987</f>
      </c>
      <c r="K427" s="9"/>
      <c r="L427" s="13" t="s">
        <v>1334</v>
      </c>
      <c r="M427" s="14">
        <v>123</v>
      </c>
      <c r="N427" s="13" t="s">
        <v>1335</v>
      </c>
      <c r="O427" s="13" t="s">
        <v>32</v>
      </c>
      <c r="P427" s="13" t="s">
        <v>32</v>
      </c>
      <c r="Q427" s="14" t="s">
        <v>58</v>
      </c>
      <c r="R427" s="13" t="s">
        <v>33</v>
      </c>
      <c r="S427" s="13" t="s">
        <v>34</v>
      </c>
      <c r="T427" s="15">
        <v>0</v>
      </c>
      <c r="U427" s="13"/>
      <c r="V427" s="15">
        <v>0</v>
      </c>
      <c r="W427" s="13" t="s">
        <v>48</v>
      </c>
      <c r="X427" s="15" t="s">
        <v>65</v>
      </c>
      <c r="Y427" s="13" t="s">
        <v>37</v>
      </c>
    </row>
    <row x14ac:dyDescent="0.25" r="428" customHeight="1" ht="18.75">
      <c r="A428" s="5">
        <v>74021553</v>
      </c>
      <c r="B428" s="6">
        <v>1236</v>
      </c>
      <c r="C428" s="7" t="s">
        <v>2137</v>
      </c>
      <c r="D428" s="7" t="s">
        <v>2138</v>
      </c>
      <c r="E428" s="8">
        <v>74021553</v>
      </c>
      <c r="F428" s="8">
        <v>1236</v>
      </c>
      <c r="G428" s="7" t="s">
        <v>27</v>
      </c>
      <c r="H428" s="7" t="s">
        <v>2139</v>
      </c>
      <c r="I428" s="7" t="s">
        <v>2140</v>
      </c>
      <c r="J428" s="8">
        <f>79259543630</f>
      </c>
      <c r="K428" s="9"/>
      <c r="L428" s="7" t="s">
        <v>544</v>
      </c>
      <c r="M428" s="8">
        <v>74</v>
      </c>
      <c r="N428" s="7" t="s">
        <v>545</v>
      </c>
      <c r="O428" s="7" t="s">
        <v>232</v>
      </c>
      <c r="P428" s="7" t="s">
        <v>1355</v>
      </c>
      <c r="Q428" s="8" t="s">
        <v>58</v>
      </c>
      <c r="R428" s="7" t="s">
        <v>33</v>
      </c>
      <c r="S428" s="7" t="s">
        <v>47</v>
      </c>
      <c r="T428" s="10">
        <v>1</v>
      </c>
      <c r="U428" s="7"/>
      <c r="V428" s="10">
        <v>0</v>
      </c>
      <c r="W428" s="7" t="s">
        <v>48</v>
      </c>
      <c r="X428" s="10" t="s">
        <v>472</v>
      </c>
      <c r="Y428" s="7" t="s">
        <v>37</v>
      </c>
    </row>
    <row x14ac:dyDescent="0.25" r="429" customHeight="1" ht="18.75">
      <c r="A429" s="11">
        <v>74021554</v>
      </c>
      <c r="B429" s="12">
        <v>1237</v>
      </c>
      <c r="C429" s="13" t="s">
        <v>2141</v>
      </c>
      <c r="D429" s="13" t="s">
        <v>2142</v>
      </c>
      <c r="E429" s="14">
        <v>74021554</v>
      </c>
      <c r="F429" s="14">
        <v>1237</v>
      </c>
      <c r="G429" s="13" t="s">
        <v>27</v>
      </c>
      <c r="H429" s="13" t="s">
        <v>2143</v>
      </c>
      <c r="I429" s="13" t="s">
        <v>2144</v>
      </c>
      <c r="J429" s="14">
        <f>79259543672</f>
      </c>
      <c r="K429" s="9"/>
      <c r="L429" s="13" t="s">
        <v>544</v>
      </c>
      <c r="M429" s="14">
        <v>74</v>
      </c>
      <c r="N429" s="13" t="s">
        <v>545</v>
      </c>
      <c r="O429" s="13" t="s">
        <v>232</v>
      </c>
      <c r="P429" s="13" t="s">
        <v>1371</v>
      </c>
      <c r="Q429" s="14" t="s">
        <v>2142</v>
      </c>
      <c r="R429" s="13" t="s">
        <v>33</v>
      </c>
      <c r="S429" s="13" t="s">
        <v>34</v>
      </c>
      <c r="T429" s="15">
        <v>0</v>
      </c>
      <c r="U429" s="13"/>
      <c r="V429" s="15">
        <v>0</v>
      </c>
      <c r="W429" s="13" t="s">
        <v>48</v>
      </c>
      <c r="X429" s="15" t="s">
        <v>65</v>
      </c>
      <c r="Y429" s="13" t="s">
        <v>37</v>
      </c>
    </row>
    <row x14ac:dyDescent="0.25" r="430" customHeight="1" ht="18.75">
      <c r="A430" s="5">
        <v>74021555</v>
      </c>
      <c r="B430" s="6">
        <v>1238</v>
      </c>
      <c r="C430" s="7" t="s">
        <v>2145</v>
      </c>
      <c r="D430" s="7" t="s">
        <v>2146</v>
      </c>
      <c r="E430" s="8">
        <v>74021555</v>
      </c>
      <c r="F430" s="8">
        <v>1238</v>
      </c>
      <c r="G430" s="7" t="s">
        <v>27</v>
      </c>
      <c r="H430" s="7" t="s">
        <v>2147</v>
      </c>
      <c r="I430" s="7" t="s">
        <v>2148</v>
      </c>
      <c r="J430" s="8">
        <f>79154927105</f>
      </c>
      <c r="K430" s="9"/>
      <c r="L430" s="7" t="s">
        <v>544</v>
      </c>
      <c r="M430" s="8">
        <v>74</v>
      </c>
      <c r="N430" s="7" t="s">
        <v>545</v>
      </c>
      <c r="O430" s="7" t="s">
        <v>232</v>
      </c>
      <c r="P430" s="7" t="s">
        <v>1287</v>
      </c>
      <c r="Q430" s="8" t="s">
        <v>58</v>
      </c>
      <c r="R430" s="7" t="s">
        <v>33</v>
      </c>
      <c r="S430" s="7" t="s">
        <v>34</v>
      </c>
      <c r="T430" s="10">
        <v>0</v>
      </c>
      <c r="U430" s="7"/>
      <c r="V430" s="10">
        <v>0</v>
      </c>
      <c r="W430" s="7" t="s">
        <v>48</v>
      </c>
      <c r="X430" s="10" t="s">
        <v>65</v>
      </c>
      <c r="Y430" s="7" t="s">
        <v>37</v>
      </c>
    </row>
    <row x14ac:dyDescent="0.25" r="431" customHeight="1" ht="18.75">
      <c r="A431" s="11">
        <v>74021556</v>
      </c>
      <c r="B431" s="12">
        <v>1239</v>
      </c>
      <c r="C431" s="13" t="s">
        <v>2149</v>
      </c>
      <c r="D431" s="13" t="s">
        <v>2150</v>
      </c>
      <c r="E431" s="14">
        <v>74021556</v>
      </c>
      <c r="F431" s="14">
        <v>1239</v>
      </c>
      <c r="G431" s="13" t="s">
        <v>27</v>
      </c>
      <c r="H431" s="13" t="s">
        <v>2151</v>
      </c>
      <c r="I431" s="13" t="s">
        <v>2152</v>
      </c>
      <c r="J431" s="14">
        <f>74752432270</f>
      </c>
      <c r="K431" s="9"/>
      <c r="L431" s="13" t="s">
        <v>544</v>
      </c>
      <c r="M431" s="14">
        <v>74</v>
      </c>
      <c r="N431" s="13" t="s">
        <v>545</v>
      </c>
      <c r="O431" s="13" t="s">
        <v>232</v>
      </c>
      <c r="P431" s="13" t="s">
        <v>2153</v>
      </c>
      <c r="Q431" s="14" t="s">
        <v>2150</v>
      </c>
      <c r="R431" s="13" t="s">
        <v>33</v>
      </c>
      <c r="S431" s="13" t="s">
        <v>34</v>
      </c>
      <c r="T431" s="15">
        <v>0</v>
      </c>
      <c r="U431" s="13"/>
      <c r="V431" s="15">
        <v>0</v>
      </c>
      <c r="W431" s="13" t="s">
        <v>48</v>
      </c>
      <c r="X431" s="15" t="s">
        <v>65</v>
      </c>
      <c r="Y431" s="13" t="s">
        <v>59</v>
      </c>
    </row>
    <row x14ac:dyDescent="0.25" r="432" customHeight="1" ht="18.75">
      <c r="A432" s="5">
        <v>74021557</v>
      </c>
      <c r="B432" s="6">
        <v>1240</v>
      </c>
      <c r="C432" s="7" t="s">
        <v>2154</v>
      </c>
      <c r="D432" s="7" t="s">
        <v>2155</v>
      </c>
      <c r="E432" s="8">
        <v>74021557</v>
      </c>
      <c r="F432" s="8">
        <v>1240</v>
      </c>
      <c r="G432" s="7" t="s">
        <v>27</v>
      </c>
      <c r="H432" s="7" t="s">
        <v>2156</v>
      </c>
      <c r="I432" s="7" t="s">
        <v>2157</v>
      </c>
      <c r="J432" s="8">
        <f>79263072491</f>
      </c>
      <c r="K432" s="9"/>
      <c r="L432" s="7" t="s">
        <v>544</v>
      </c>
      <c r="M432" s="8">
        <v>74</v>
      </c>
      <c r="N432" s="7" t="s">
        <v>545</v>
      </c>
      <c r="O432" s="7" t="s">
        <v>232</v>
      </c>
      <c r="P432" s="7" t="s">
        <v>2158</v>
      </c>
      <c r="Q432" s="8" t="s">
        <v>182</v>
      </c>
      <c r="R432" s="7" t="s">
        <v>33</v>
      </c>
      <c r="S432" s="7" t="s">
        <v>34</v>
      </c>
      <c r="T432" s="10">
        <v>0</v>
      </c>
      <c r="U432" s="7"/>
      <c r="V432" s="10">
        <v>0</v>
      </c>
      <c r="W432" s="7" t="s">
        <v>48</v>
      </c>
      <c r="X432" s="10" t="s">
        <v>65</v>
      </c>
      <c r="Y432" s="7" t="s">
        <v>37</v>
      </c>
    </row>
    <row x14ac:dyDescent="0.25" r="433" customHeight="1" ht="18.75">
      <c r="A433" s="11">
        <v>74021558</v>
      </c>
      <c r="B433" s="12">
        <v>1241</v>
      </c>
      <c r="C433" s="13" t="s">
        <v>2159</v>
      </c>
      <c r="D433" s="13" t="s">
        <v>2160</v>
      </c>
      <c r="E433" s="14">
        <v>74021558</v>
      </c>
      <c r="F433" s="14">
        <v>1241</v>
      </c>
      <c r="G433" s="13" t="s">
        <v>27</v>
      </c>
      <c r="H433" s="13" t="s">
        <v>2161</v>
      </c>
      <c r="I433" s="13" t="s">
        <v>2162</v>
      </c>
      <c r="J433" s="14">
        <f>79625869660</f>
      </c>
      <c r="K433" s="9"/>
      <c r="L433" s="13" t="s">
        <v>721</v>
      </c>
      <c r="M433" s="14">
        <v>116</v>
      </c>
      <c r="N433" s="13" t="s">
        <v>1269</v>
      </c>
      <c r="O433" s="13" t="s">
        <v>723</v>
      </c>
      <c r="P433" s="13" t="s">
        <v>1270</v>
      </c>
      <c r="Q433" s="14" t="s">
        <v>2163</v>
      </c>
      <c r="R433" s="13" t="s">
        <v>33</v>
      </c>
      <c r="S433" s="13" t="s">
        <v>34</v>
      </c>
      <c r="T433" s="15">
        <v>0</v>
      </c>
      <c r="U433" s="13"/>
      <c r="V433" s="15">
        <v>0</v>
      </c>
      <c r="W433" s="13" t="s">
        <v>48</v>
      </c>
      <c r="X433" s="15" t="s">
        <v>65</v>
      </c>
      <c r="Y433" s="13" t="s">
        <v>59</v>
      </c>
    </row>
    <row x14ac:dyDescent="0.25" r="434" customHeight="1" ht="18.75">
      <c r="A434" s="5">
        <v>74021559</v>
      </c>
      <c r="B434" s="6">
        <v>1242</v>
      </c>
      <c r="C434" s="7" t="s">
        <v>2164</v>
      </c>
      <c r="D434" s="7" t="s">
        <v>2165</v>
      </c>
      <c r="E434" s="8">
        <v>74021559</v>
      </c>
      <c r="F434" s="8">
        <v>1242</v>
      </c>
      <c r="G434" s="7" t="s">
        <v>27</v>
      </c>
      <c r="H434" s="7" t="s">
        <v>2166</v>
      </c>
      <c r="I434" s="7" t="s">
        <v>2167</v>
      </c>
      <c r="J434" s="8">
        <f>74232390887</f>
      </c>
      <c r="K434" s="9"/>
      <c r="L434" s="7" t="s">
        <v>721</v>
      </c>
      <c r="M434" s="8">
        <v>115</v>
      </c>
      <c r="N434" s="7" t="s">
        <v>1376</v>
      </c>
      <c r="O434" s="7" t="s">
        <v>723</v>
      </c>
      <c r="P434" s="7" t="s">
        <v>724</v>
      </c>
      <c r="Q434" s="8" t="s">
        <v>2168</v>
      </c>
      <c r="R434" s="7" t="s">
        <v>33</v>
      </c>
      <c r="S434" s="7" t="s">
        <v>34</v>
      </c>
      <c r="T434" s="10">
        <v>0</v>
      </c>
      <c r="U434" s="7"/>
      <c r="V434" s="10">
        <v>0</v>
      </c>
      <c r="W434" s="7" t="s">
        <v>48</v>
      </c>
      <c r="X434" s="10" t="s">
        <v>65</v>
      </c>
      <c r="Y434" s="7" t="s">
        <v>37</v>
      </c>
    </row>
    <row x14ac:dyDescent="0.25" r="435" customHeight="1" ht="18.75">
      <c r="A435" s="11">
        <v>74021560</v>
      </c>
      <c r="B435" s="12">
        <v>1243</v>
      </c>
      <c r="C435" s="13" t="s">
        <v>2169</v>
      </c>
      <c r="D435" s="13" t="s">
        <v>2170</v>
      </c>
      <c r="E435" s="14">
        <v>74021560</v>
      </c>
      <c r="F435" s="14">
        <v>1243</v>
      </c>
      <c r="G435" s="13" t="s">
        <v>27</v>
      </c>
      <c r="H435" s="13" t="s">
        <v>2171</v>
      </c>
      <c r="I435" s="13" t="s">
        <v>2172</v>
      </c>
      <c r="J435" s="14">
        <f>74950230294</f>
      </c>
      <c r="K435" s="9"/>
      <c r="L435" s="13" t="s">
        <v>1334</v>
      </c>
      <c r="M435" s="14">
        <v>123</v>
      </c>
      <c r="N435" s="13" t="s">
        <v>1335</v>
      </c>
      <c r="O435" s="13" t="s">
        <v>32</v>
      </c>
      <c r="P435" s="13" t="s">
        <v>32</v>
      </c>
      <c r="Q435" s="14" t="s">
        <v>58</v>
      </c>
      <c r="R435" s="13" t="s">
        <v>33</v>
      </c>
      <c r="S435" s="13" t="s">
        <v>47</v>
      </c>
      <c r="T435" s="15">
        <v>1</v>
      </c>
      <c r="U435" s="13"/>
      <c r="V435" s="15">
        <v>0</v>
      </c>
      <c r="W435" s="13" t="s">
        <v>48</v>
      </c>
      <c r="X435" s="15" t="s">
        <v>65</v>
      </c>
      <c r="Y435" s="13" t="s">
        <v>37</v>
      </c>
    </row>
    <row x14ac:dyDescent="0.25" r="436" customHeight="1" ht="18.75">
      <c r="A436" s="5">
        <v>74221563</v>
      </c>
      <c r="B436" s="6">
        <v>1246</v>
      </c>
      <c r="C436" s="7" t="s">
        <v>2173</v>
      </c>
      <c r="D436" s="7" t="s">
        <v>2174</v>
      </c>
      <c r="E436" s="8">
        <v>74321563</v>
      </c>
      <c r="F436" s="8">
        <v>1246</v>
      </c>
      <c r="G436" s="7" t="s">
        <v>27</v>
      </c>
      <c r="H436" s="7" t="s">
        <v>2175</v>
      </c>
      <c r="I436" s="7" t="s">
        <v>2176</v>
      </c>
      <c r="J436" s="8">
        <f>74952408424</f>
      </c>
      <c r="K436" s="8">
        <v>6482</v>
      </c>
      <c r="L436" s="7" t="s">
        <v>1276</v>
      </c>
      <c r="M436" s="8">
        <v>105</v>
      </c>
      <c r="N436" s="7" t="s">
        <v>1277</v>
      </c>
      <c r="O436" s="7" t="s">
        <v>73</v>
      </c>
      <c r="P436" s="7" t="s">
        <v>1532</v>
      </c>
      <c r="Q436" s="8" t="s">
        <v>1533</v>
      </c>
      <c r="R436" s="7" t="s">
        <v>33</v>
      </c>
      <c r="S436" s="7" t="s">
        <v>47</v>
      </c>
      <c r="T436" s="10">
        <v>2</v>
      </c>
      <c r="U436" s="7"/>
      <c r="V436" s="10">
        <v>0</v>
      </c>
      <c r="W436" s="7" t="s">
        <v>48</v>
      </c>
      <c r="X436" s="10" t="s">
        <v>65</v>
      </c>
      <c r="Y436" s="7" t="s">
        <v>37</v>
      </c>
    </row>
    <row x14ac:dyDescent="0.25" r="437" customHeight="1" ht="18.75">
      <c r="A437" s="11">
        <v>74221565</v>
      </c>
      <c r="B437" s="12">
        <v>1248</v>
      </c>
      <c r="C437" s="13" t="s">
        <v>2177</v>
      </c>
      <c r="D437" s="13" t="s">
        <v>2178</v>
      </c>
      <c r="E437" s="14">
        <v>74321565</v>
      </c>
      <c r="F437" s="14">
        <v>1248</v>
      </c>
      <c r="G437" s="13" t="s">
        <v>27</v>
      </c>
      <c r="H437" s="13" t="s">
        <v>2179</v>
      </c>
      <c r="I437" s="13" t="s">
        <v>2180</v>
      </c>
      <c r="J437" s="14">
        <f>74952408424</f>
      </c>
      <c r="K437" s="14">
        <v>6484</v>
      </c>
      <c r="L437" s="13" t="s">
        <v>1276</v>
      </c>
      <c r="M437" s="14">
        <v>105</v>
      </c>
      <c r="N437" s="13" t="s">
        <v>1277</v>
      </c>
      <c r="O437" s="13" t="s">
        <v>73</v>
      </c>
      <c r="P437" s="13" t="s">
        <v>2181</v>
      </c>
      <c r="Q437" s="14" t="s">
        <v>182</v>
      </c>
      <c r="R437" s="13" t="s">
        <v>33</v>
      </c>
      <c r="S437" s="13" t="s">
        <v>47</v>
      </c>
      <c r="T437" s="15">
        <v>1</v>
      </c>
      <c r="U437" s="13"/>
      <c r="V437" s="15">
        <v>0</v>
      </c>
      <c r="W437" s="13" t="s">
        <v>48</v>
      </c>
      <c r="X437" s="15" t="s">
        <v>36</v>
      </c>
      <c r="Y437" s="13" t="s">
        <v>37</v>
      </c>
    </row>
    <row x14ac:dyDescent="0.25" r="438" customHeight="1" ht="18.75">
      <c r="A438" s="5">
        <v>74021567</v>
      </c>
      <c r="B438" s="6">
        <v>1250</v>
      </c>
      <c r="C438" s="7" t="s">
        <v>2182</v>
      </c>
      <c r="D438" s="7" t="s">
        <v>2183</v>
      </c>
      <c r="E438" s="8">
        <v>74021567</v>
      </c>
      <c r="F438" s="8">
        <v>1250</v>
      </c>
      <c r="G438" s="7" t="s">
        <v>27</v>
      </c>
      <c r="H438" s="7" t="s">
        <v>2184</v>
      </c>
      <c r="I438" s="7" t="s">
        <v>2185</v>
      </c>
      <c r="J438" s="8">
        <f>73512208044</f>
      </c>
      <c r="K438" s="8">
        <v>1029</v>
      </c>
      <c r="L438" s="7" t="s">
        <v>94</v>
      </c>
      <c r="M438" s="8">
        <v>177</v>
      </c>
      <c r="N438" s="7" t="s">
        <v>2186</v>
      </c>
      <c r="O438" s="7" t="s">
        <v>96</v>
      </c>
      <c r="P438" s="7" t="s">
        <v>181</v>
      </c>
      <c r="Q438" s="8" t="s">
        <v>182</v>
      </c>
      <c r="R438" s="7" t="s">
        <v>33</v>
      </c>
      <c r="S438" s="7" t="s">
        <v>34</v>
      </c>
      <c r="T438" s="10">
        <v>0</v>
      </c>
      <c r="U438" s="7"/>
      <c r="V438" s="10">
        <v>0</v>
      </c>
      <c r="W438" s="7" t="s">
        <v>48</v>
      </c>
      <c r="X438" s="10" t="s">
        <v>65</v>
      </c>
      <c r="Y438" s="7" t="s">
        <v>59</v>
      </c>
    </row>
    <row x14ac:dyDescent="0.25" r="439" customHeight="1" ht="18.75">
      <c r="A439" s="11">
        <v>74021568</v>
      </c>
      <c r="B439" s="12">
        <v>1251</v>
      </c>
      <c r="C439" s="13" t="s">
        <v>2187</v>
      </c>
      <c r="D439" s="13" t="s">
        <v>2188</v>
      </c>
      <c r="E439" s="14">
        <v>74021568</v>
      </c>
      <c r="F439" s="14">
        <v>1251</v>
      </c>
      <c r="G439" s="13" t="s">
        <v>27</v>
      </c>
      <c r="H439" s="13" t="s">
        <v>2189</v>
      </c>
      <c r="I439" s="13" t="s">
        <v>2190</v>
      </c>
      <c r="J439" s="14">
        <f>74952120000</f>
      </c>
      <c r="K439" s="14">
        <v>5089</v>
      </c>
      <c r="L439" s="13" t="s">
        <v>2034</v>
      </c>
      <c r="M439" s="14">
        <v>141</v>
      </c>
      <c r="N439" s="13" t="s">
        <v>2035</v>
      </c>
      <c r="O439" s="13" t="s">
        <v>82</v>
      </c>
      <c r="P439" s="13" t="s">
        <v>2191</v>
      </c>
      <c r="Q439" s="14" t="s">
        <v>2192</v>
      </c>
      <c r="R439" s="13" t="s">
        <v>33</v>
      </c>
      <c r="S439" s="13" t="s">
        <v>47</v>
      </c>
      <c r="T439" s="15">
        <v>1</v>
      </c>
      <c r="U439" s="13"/>
      <c r="V439" s="15">
        <v>0</v>
      </c>
      <c r="W439" s="13"/>
      <c r="X439" s="15">
        <v>0</v>
      </c>
      <c r="Y439" s="13" t="s">
        <v>37</v>
      </c>
    </row>
    <row x14ac:dyDescent="0.25" r="440" customHeight="1" ht="18.75">
      <c r="A440" s="5">
        <v>74321569</v>
      </c>
      <c r="B440" s="6">
        <v>1252</v>
      </c>
      <c r="C440" s="7" t="s">
        <v>2193</v>
      </c>
      <c r="D440" s="7" t="s">
        <v>2194</v>
      </c>
      <c r="E440" s="8">
        <v>74321569</v>
      </c>
      <c r="F440" s="8">
        <v>1252</v>
      </c>
      <c r="G440" s="7" t="s">
        <v>27</v>
      </c>
      <c r="H440" s="7" t="s">
        <v>2195</v>
      </c>
      <c r="I440" s="7" t="s">
        <v>2196</v>
      </c>
      <c r="J440" s="8">
        <f>74952408424</f>
      </c>
      <c r="K440" s="8">
        <v>6487</v>
      </c>
      <c r="L440" s="7" t="s">
        <v>1276</v>
      </c>
      <c r="M440" s="8">
        <v>105</v>
      </c>
      <c r="N440" s="7" t="s">
        <v>1277</v>
      </c>
      <c r="O440" s="7" t="s">
        <v>96</v>
      </c>
      <c r="P440" s="7" t="s">
        <v>2197</v>
      </c>
      <c r="Q440" s="8" t="s">
        <v>182</v>
      </c>
      <c r="R440" s="7" t="s">
        <v>33</v>
      </c>
      <c r="S440" s="7" t="s">
        <v>47</v>
      </c>
      <c r="T440" s="10">
        <v>2</v>
      </c>
      <c r="U440" s="7"/>
      <c r="V440" s="10">
        <v>0</v>
      </c>
      <c r="W440" s="7" t="s">
        <v>48</v>
      </c>
      <c r="X440" s="10" t="s">
        <v>65</v>
      </c>
      <c r="Y440" s="7" t="s">
        <v>59</v>
      </c>
    </row>
    <row x14ac:dyDescent="0.25" r="441" customHeight="1" ht="18.75">
      <c r="A441" s="11">
        <v>74021571</v>
      </c>
      <c r="B441" s="12">
        <v>1254</v>
      </c>
      <c r="C441" s="13" t="s">
        <v>2198</v>
      </c>
      <c r="D441" s="13" t="s">
        <v>2199</v>
      </c>
      <c r="E441" s="14">
        <v>74021571</v>
      </c>
      <c r="F441" s="14">
        <v>1254</v>
      </c>
      <c r="G441" s="13" t="s">
        <v>27</v>
      </c>
      <c r="H441" s="13" t="s">
        <v>2200</v>
      </c>
      <c r="I441" s="13" t="s">
        <v>2201</v>
      </c>
      <c r="J441" s="14">
        <f>74952120000</f>
      </c>
      <c r="K441" s="14">
        <v>5091</v>
      </c>
      <c r="L441" s="13" t="s">
        <v>2034</v>
      </c>
      <c r="M441" s="14">
        <v>141</v>
      </c>
      <c r="N441" s="13" t="s">
        <v>2035</v>
      </c>
      <c r="O441" s="13" t="s">
        <v>82</v>
      </c>
      <c r="P441" s="13" t="s">
        <v>2202</v>
      </c>
      <c r="Q441" s="14" t="s">
        <v>2203</v>
      </c>
      <c r="R441" s="13" t="s">
        <v>33</v>
      </c>
      <c r="S441" s="13" t="s">
        <v>47</v>
      </c>
      <c r="T441" s="15">
        <v>1</v>
      </c>
      <c r="U441" s="13"/>
      <c r="V441" s="15">
        <v>0</v>
      </c>
      <c r="W441" s="13"/>
      <c r="X441" s="15">
        <v>0</v>
      </c>
      <c r="Y441" s="13" t="s">
        <v>37</v>
      </c>
    </row>
    <row x14ac:dyDescent="0.25" r="442" customHeight="1" ht="18.75">
      <c r="A442" s="5">
        <v>74021572</v>
      </c>
      <c r="B442" s="6">
        <v>1255</v>
      </c>
      <c r="C442" s="7" t="s">
        <v>2204</v>
      </c>
      <c r="D442" s="7" t="s">
        <v>2205</v>
      </c>
      <c r="E442" s="8">
        <v>74021572</v>
      </c>
      <c r="F442" s="8">
        <v>1255</v>
      </c>
      <c r="G442" s="7" t="s">
        <v>27</v>
      </c>
      <c r="H442" s="7" t="s">
        <v>2206</v>
      </c>
      <c r="I442" s="7" t="s">
        <v>2207</v>
      </c>
      <c r="J442" s="8">
        <f>79636301214</f>
      </c>
      <c r="K442" s="9"/>
      <c r="L442" s="7" t="s">
        <v>30</v>
      </c>
      <c r="M442" s="8">
        <v>56</v>
      </c>
      <c r="N442" s="7" t="s">
        <v>31</v>
      </c>
      <c r="O442" s="7" t="s">
        <v>32</v>
      </c>
      <c r="P442" s="7" t="s">
        <v>32</v>
      </c>
      <c r="Q442" s="8" t="s">
        <v>58</v>
      </c>
      <c r="R442" s="7" t="s">
        <v>33</v>
      </c>
      <c r="S442" s="7" t="s">
        <v>47</v>
      </c>
      <c r="T442" s="10">
        <v>2</v>
      </c>
      <c r="U442" s="7"/>
      <c r="V442" s="10">
        <v>0</v>
      </c>
      <c r="W442" s="7" t="s">
        <v>48</v>
      </c>
      <c r="X442" s="10" t="s">
        <v>65</v>
      </c>
      <c r="Y442" s="7" t="s">
        <v>37</v>
      </c>
    </row>
    <row x14ac:dyDescent="0.25" r="443" customHeight="1" ht="18.75">
      <c r="A443" s="11">
        <v>74021573</v>
      </c>
      <c r="B443" s="12">
        <v>1256</v>
      </c>
      <c r="C443" s="13" t="s">
        <v>2208</v>
      </c>
      <c r="D443" s="13" t="s">
        <v>2209</v>
      </c>
      <c r="E443" s="14">
        <v>74021573</v>
      </c>
      <c r="F443" s="14">
        <v>1256</v>
      </c>
      <c r="G443" s="13" t="s">
        <v>27</v>
      </c>
      <c r="H443" s="13" t="s">
        <v>2210</v>
      </c>
      <c r="I443" s="13" t="s">
        <v>2211</v>
      </c>
      <c r="J443" s="14">
        <f>79661684076</f>
      </c>
      <c r="K443" s="9"/>
      <c r="L443" s="13" t="s">
        <v>30</v>
      </c>
      <c r="M443" s="14">
        <v>56</v>
      </c>
      <c r="N443" s="13" t="s">
        <v>31</v>
      </c>
      <c r="O443" s="13" t="s">
        <v>32</v>
      </c>
      <c r="P443" s="13" t="s">
        <v>32</v>
      </c>
      <c r="Q443" s="14" t="s">
        <v>58</v>
      </c>
      <c r="R443" s="13" t="s">
        <v>33</v>
      </c>
      <c r="S443" s="13" t="s">
        <v>47</v>
      </c>
      <c r="T443" s="15">
        <v>1</v>
      </c>
      <c r="U443" s="13"/>
      <c r="V443" s="15">
        <v>0</v>
      </c>
      <c r="W443" s="13" t="s">
        <v>48</v>
      </c>
      <c r="X443" s="15" t="s">
        <v>36</v>
      </c>
      <c r="Y443" s="13" t="s">
        <v>126</v>
      </c>
    </row>
    <row x14ac:dyDescent="0.25" r="444" customHeight="1" ht="18.75">
      <c r="A444" s="5">
        <v>74021576</v>
      </c>
      <c r="B444" s="6">
        <v>1259</v>
      </c>
      <c r="C444" s="7" t="s">
        <v>2212</v>
      </c>
      <c r="D444" s="7" t="s">
        <v>2213</v>
      </c>
      <c r="E444" s="8">
        <v>74021576</v>
      </c>
      <c r="F444" s="8">
        <v>1259</v>
      </c>
      <c r="G444" s="7" t="s">
        <v>27</v>
      </c>
      <c r="H444" s="7" t="s">
        <v>2214</v>
      </c>
      <c r="I444" s="7" t="s">
        <v>2215</v>
      </c>
      <c r="J444" s="8">
        <f>74952120000</f>
      </c>
      <c r="K444" s="8">
        <v>5093</v>
      </c>
      <c r="L444" s="7" t="s">
        <v>2034</v>
      </c>
      <c r="M444" s="8">
        <v>141</v>
      </c>
      <c r="N444" s="7" t="s">
        <v>2035</v>
      </c>
      <c r="O444" s="7" t="s">
        <v>82</v>
      </c>
      <c r="P444" s="7" t="s">
        <v>2216</v>
      </c>
      <c r="Q444" s="8" t="s">
        <v>2217</v>
      </c>
      <c r="R444" s="7" t="s">
        <v>33</v>
      </c>
      <c r="S444" s="7" t="s">
        <v>47</v>
      </c>
      <c r="T444" s="10">
        <v>2</v>
      </c>
      <c r="U444" s="7"/>
      <c r="V444" s="10">
        <v>0</v>
      </c>
      <c r="W444" s="7"/>
      <c r="X444" s="10">
        <v>0</v>
      </c>
      <c r="Y444" s="7" t="s">
        <v>37</v>
      </c>
    </row>
    <row x14ac:dyDescent="0.25" r="445" customHeight="1" ht="18.75">
      <c r="A445" s="11">
        <v>74021577</v>
      </c>
      <c r="B445" s="12">
        <v>1260</v>
      </c>
      <c r="C445" s="13" t="s">
        <v>2218</v>
      </c>
      <c r="D445" s="13" t="s">
        <v>2219</v>
      </c>
      <c r="E445" s="14">
        <v>74021577</v>
      </c>
      <c r="F445" s="14">
        <v>1260</v>
      </c>
      <c r="G445" s="13" t="s">
        <v>27</v>
      </c>
      <c r="H445" s="13" t="s">
        <v>2220</v>
      </c>
      <c r="I445" s="13" t="s">
        <v>2221</v>
      </c>
      <c r="J445" s="14">
        <f>74952120000</f>
      </c>
      <c r="K445" s="14">
        <v>5095</v>
      </c>
      <c r="L445" s="13" t="s">
        <v>2034</v>
      </c>
      <c r="M445" s="14">
        <v>141</v>
      </c>
      <c r="N445" s="13" t="s">
        <v>2035</v>
      </c>
      <c r="O445" s="13" t="s">
        <v>82</v>
      </c>
      <c r="P445" s="13" t="s">
        <v>2222</v>
      </c>
      <c r="Q445" s="14" t="s">
        <v>2223</v>
      </c>
      <c r="R445" s="13" t="s">
        <v>33</v>
      </c>
      <c r="S445" s="13" t="s">
        <v>47</v>
      </c>
      <c r="T445" s="15">
        <v>2</v>
      </c>
      <c r="U445" s="13"/>
      <c r="V445" s="15">
        <v>0</v>
      </c>
      <c r="W445" s="13"/>
      <c r="X445" s="15">
        <v>0</v>
      </c>
      <c r="Y445" s="13" t="s">
        <v>37</v>
      </c>
    </row>
    <row x14ac:dyDescent="0.25" r="446" customHeight="1" ht="18.75">
      <c r="A446" s="5">
        <v>74021580</v>
      </c>
      <c r="B446" s="6">
        <v>1263</v>
      </c>
      <c r="C446" s="7" t="s">
        <v>2224</v>
      </c>
      <c r="D446" s="7" t="s">
        <v>2225</v>
      </c>
      <c r="E446" s="8">
        <v>74021580</v>
      </c>
      <c r="F446" s="8">
        <v>1263</v>
      </c>
      <c r="G446" s="7" t="s">
        <v>27</v>
      </c>
      <c r="H446" s="7" t="s">
        <v>2226</v>
      </c>
      <c r="I446" s="7" t="s">
        <v>2227</v>
      </c>
      <c r="J446" s="8">
        <f>79259543673</f>
      </c>
      <c r="K446" s="9"/>
      <c r="L446" s="7" t="s">
        <v>544</v>
      </c>
      <c r="M446" s="8">
        <v>74</v>
      </c>
      <c r="N446" s="7" t="s">
        <v>545</v>
      </c>
      <c r="O446" s="7" t="s">
        <v>232</v>
      </c>
      <c r="P446" s="7" t="s">
        <v>2228</v>
      </c>
      <c r="Q446" s="8" t="s">
        <v>58</v>
      </c>
      <c r="R446" s="7" t="s">
        <v>33</v>
      </c>
      <c r="S446" s="7" t="s">
        <v>34</v>
      </c>
      <c r="T446" s="10">
        <v>0</v>
      </c>
      <c r="U446" s="7"/>
      <c r="V446" s="10">
        <v>0</v>
      </c>
      <c r="W446" s="7" t="s">
        <v>48</v>
      </c>
      <c r="X446" s="10" t="s">
        <v>65</v>
      </c>
      <c r="Y446" s="7" t="s">
        <v>37</v>
      </c>
    </row>
    <row x14ac:dyDescent="0.25" r="447" customHeight="1" ht="18.75">
      <c r="A447" s="11">
        <v>74021582</v>
      </c>
      <c r="B447" s="12">
        <v>1265</v>
      </c>
      <c r="C447" s="13" t="s">
        <v>2229</v>
      </c>
      <c r="D447" s="13" t="s">
        <v>2230</v>
      </c>
      <c r="E447" s="14">
        <v>74021582</v>
      </c>
      <c r="F447" s="14">
        <v>1265</v>
      </c>
      <c r="G447" s="13" t="s">
        <v>27</v>
      </c>
      <c r="H447" s="13" t="s">
        <v>2231</v>
      </c>
      <c r="I447" s="13" t="s">
        <v>2232</v>
      </c>
      <c r="J447" s="14">
        <f>73422009985</f>
      </c>
      <c r="K447" s="9"/>
      <c r="L447" s="13" t="s">
        <v>42</v>
      </c>
      <c r="M447" s="14">
        <v>172</v>
      </c>
      <c r="N447" s="13" t="s">
        <v>2128</v>
      </c>
      <c r="O447" s="13" t="s">
        <v>96</v>
      </c>
      <c r="P447" s="13" t="s">
        <v>978</v>
      </c>
      <c r="Q447" s="14" t="s">
        <v>2233</v>
      </c>
      <c r="R447" s="13" t="s">
        <v>33</v>
      </c>
      <c r="S447" s="13" t="s">
        <v>47</v>
      </c>
      <c r="T447" s="15">
        <v>1</v>
      </c>
      <c r="U447" s="13"/>
      <c r="V447" s="15">
        <v>0</v>
      </c>
      <c r="W447" s="13" t="s">
        <v>48</v>
      </c>
      <c r="X447" s="15" t="s">
        <v>36</v>
      </c>
      <c r="Y447" s="13" t="s">
        <v>37</v>
      </c>
    </row>
    <row x14ac:dyDescent="0.25" r="448" customHeight="1" ht="18.75">
      <c r="A448" s="5">
        <v>74021583</v>
      </c>
      <c r="B448" s="6">
        <v>1266</v>
      </c>
      <c r="C448" s="7" t="s">
        <v>2234</v>
      </c>
      <c r="D448" s="7" t="s">
        <v>2235</v>
      </c>
      <c r="E448" s="8">
        <v>74021583</v>
      </c>
      <c r="F448" s="8">
        <v>1266</v>
      </c>
      <c r="G448" s="7" t="s">
        <v>27</v>
      </c>
      <c r="H448" s="7" t="s">
        <v>2236</v>
      </c>
      <c r="I448" s="7" t="s">
        <v>2237</v>
      </c>
      <c r="J448" s="8">
        <f>73422009998</f>
      </c>
      <c r="K448" s="9"/>
      <c r="L448" s="7" t="s">
        <v>42</v>
      </c>
      <c r="M448" s="8">
        <v>172</v>
      </c>
      <c r="N448" s="7" t="s">
        <v>2128</v>
      </c>
      <c r="O448" s="7" t="s">
        <v>96</v>
      </c>
      <c r="P448" s="7" t="s">
        <v>978</v>
      </c>
      <c r="Q448" s="8" t="s">
        <v>2235</v>
      </c>
      <c r="R448" s="7" t="s">
        <v>33</v>
      </c>
      <c r="S448" s="7" t="s">
        <v>47</v>
      </c>
      <c r="T448" s="10">
        <v>1</v>
      </c>
      <c r="U448" s="7"/>
      <c r="V448" s="10">
        <v>0</v>
      </c>
      <c r="W448" s="7" t="s">
        <v>48</v>
      </c>
      <c r="X448" s="10" t="s">
        <v>36</v>
      </c>
      <c r="Y448" s="7" t="s">
        <v>37</v>
      </c>
    </row>
    <row x14ac:dyDescent="0.25" r="449" customHeight="1" ht="18.75">
      <c r="A449" s="11">
        <v>74021585</v>
      </c>
      <c r="B449" s="12">
        <v>1268</v>
      </c>
      <c r="C449" s="13" t="s">
        <v>2238</v>
      </c>
      <c r="D449" s="13" t="s">
        <v>2239</v>
      </c>
      <c r="E449" s="14">
        <v>74021585</v>
      </c>
      <c r="F449" s="14">
        <v>1268</v>
      </c>
      <c r="G449" s="13" t="s">
        <v>27</v>
      </c>
      <c r="H449" s="13" t="s">
        <v>2240</v>
      </c>
      <c r="I449" s="13" t="s">
        <v>2241</v>
      </c>
      <c r="J449" s="14">
        <f>79627450433</f>
      </c>
      <c r="K449" s="9"/>
      <c r="L449" s="13" t="s">
        <v>117</v>
      </c>
      <c r="M449" s="14">
        <v>210</v>
      </c>
      <c r="N449" s="13" t="s">
        <v>118</v>
      </c>
      <c r="O449" s="13" t="s">
        <v>119</v>
      </c>
      <c r="P449" s="13" t="s">
        <v>811</v>
      </c>
      <c r="Q449" s="14" t="s">
        <v>58</v>
      </c>
      <c r="R449" s="13" t="s">
        <v>33</v>
      </c>
      <c r="S449" s="13" t="s">
        <v>47</v>
      </c>
      <c r="T449" s="15">
        <v>2</v>
      </c>
      <c r="U449" s="13"/>
      <c r="V449" s="15">
        <v>0</v>
      </c>
      <c r="W449" s="13" t="s">
        <v>48</v>
      </c>
      <c r="X449" s="15" t="s">
        <v>472</v>
      </c>
      <c r="Y449" s="13" t="s">
        <v>126</v>
      </c>
    </row>
    <row x14ac:dyDescent="0.25" r="450" customHeight="1" ht="18.75">
      <c r="A450" s="5">
        <v>74021588</v>
      </c>
      <c r="B450" s="6">
        <v>1272</v>
      </c>
      <c r="C450" s="7" t="s">
        <v>2242</v>
      </c>
      <c r="D450" s="7" t="s">
        <v>2243</v>
      </c>
      <c r="E450" s="8">
        <v>74021588</v>
      </c>
      <c r="F450" s="8">
        <v>1272</v>
      </c>
      <c r="G450" s="7" t="s">
        <v>27</v>
      </c>
      <c r="H450" s="7" t="s">
        <v>2244</v>
      </c>
      <c r="I450" s="7" t="s">
        <v>2245</v>
      </c>
      <c r="J450" s="8">
        <f>73422055120</f>
      </c>
      <c r="K450" s="9"/>
      <c r="L450" s="7" t="s">
        <v>42</v>
      </c>
      <c r="M450" s="8">
        <v>86</v>
      </c>
      <c r="N450" s="7" t="s">
        <v>977</v>
      </c>
      <c r="O450" s="7" t="s">
        <v>96</v>
      </c>
      <c r="P450" s="7" t="s">
        <v>978</v>
      </c>
      <c r="Q450" s="8" t="s">
        <v>1310</v>
      </c>
      <c r="R450" s="7" t="s">
        <v>33</v>
      </c>
      <c r="S450" s="7" t="s">
        <v>47</v>
      </c>
      <c r="T450" s="10">
        <v>1</v>
      </c>
      <c r="U450" s="7"/>
      <c r="V450" s="10">
        <v>0</v>
      </c>
      <c r="W450" s="7" t="s">
        <v>48</v>
      </c>
      <c r="X450" s="10" t="s">
        <v>36</v>
      </c>
      <c r="Y450" s="7" t="s">
        <v>126</v>
      </c>
    </row>
    <row x14ac:dyDescent="0.25" r="451" customHeight="1" ht="18.75">
      <c r="A451" s="11">
        <v>74021591</v>
      </c>
      <c r="B451" s="12">
        <v>1275</v>
      </c>
      <c r="C451" s="13" t="s">
        <v>2246</v>
      </c>
      <c r="D451" s="13" t="s">
        <v>2247</v>
      </c>
      <c r="E451" s="14">
        <v>74021591</v>
      </c>
      <c r="F451" s="14">
        <v>1275</v>
      </c>
      <c r="G451" s="13" t="s">
        <v>27</v>
      </c>
      <c r="H451" s="13" t="s">
        <v>2248</v>
      </c>
      <c r="I451" s="13" t="s">
        <v>2249</v>
      </c>
      <c r="J451" s="14">
        <f>79218976408</f>
      </c>
      <c r="K451" s="9"/>
      <c r="L451" s="13" t="s">
        <v>54</v>
      </c>
      <c r="M451" s="14">
        <v>188</v>
      </c>
      <c r="N451" s="13" t="s">
        <v>55</v>
      </c>
      <c r="O451" s="13" t="s">
        <v>56</v>
      </c>
      <c r="P451" s="13" t="s">
        <v>57</v>
      </c>
      <c r="Q451" s="14" t="s">
        <v>58</v>
      </c>
      <c r="R451" s="13" t="s">
        <v>33</v>
      </c>
      <c r="S451" s="13" t="s">
        <v>47</v>
      </c>
      <c r="T451" s="15">
        <v>1</v>
      </c>
      <c r="U451" s="13"/>
      <c r="V451" s="15">
        <v>0</v>
      </c>
      <c r="W451" s="13" t="s">
        <v>48</v>
      </c>
      <c r="X451" s="15" t="s">
        <v>36</v>
      </c>
      <c r="Y451" s="13" t="s">
        <v>37</v>
      </c>
    </row>
    <row x14ac:dyDescent="0.25" r="452" customHeight="1" ht="18.75">
      <c r="A452" s="5">
        <v>74021592</v>
      </c>
      <c r="B452" s="6">
        <v>1276</v>
      </c>
      <c r="C452" s="7" t="s">
        <v>2250</v>
      </c>
      <c r="D452" s="7" t="s">
        <v>2251</v>
      </c>
      <c r="E452" s="8">
        <v>74021592</v>
      </c>
      <c r="F452" s="8">
        <v>1276</v>
      </c>
      <c r="G452" s="7" t="s">
        <v>27</v>
      </c>
      <c r="H452" s="7" t="s">
        <v>2252</v>
      </c>
      <c r="I452" s="7" t="s">
        <v>2253</v>
      </c>
      <c r="J452" s="8">
        <f>79375733743</f>
      </c>
      <c r="K452" s="9"/>
      <c r="L452" s="7" t="s">
        <v>54</v>
      </c>
      <c r="M452" s="8">
        <v>188</v>
      </c>
      <c r="N452" s="7" t="s">
        <v>55</v>
      </c>
      <c r="O452" s="7" t="s">
        <v>44</v>
      </c>
      <c r="P452" s="7" t="s">
        <v>2254</v>
      </c>
      <c r="Q452" s="8" t="s">
        <v>58</v>
      </c>
      <c r="R452" s="7" t="s">
        <v>33</v>
      </c>
      <c r="S452" s="7" t="s">
        <v>34</v>
      </c>
      <c r="T452" s="10">
        <v>0</v>
      </c>
      <c r="U452" s="7"/>
      <c r="V452" s="10">
        <v>0</v>
      </c>
      <c r="W452" s="7" t="s">
        <v>48</v>
      </c>
      <c r="X452" s="10" t="s">
        <v>65</v>
      </c>
      <c r="Y452" s="7" t="s">
        <v>37</v>
      </c>
    </row>
    <row x14ac:dyDescent="0.25" r="453" customHeight="1" ht="18.75">
      <c r="A453" s="11">
        <v>74021593</v>
      </c>
      <c r="B453" s="12">
        <v>1277</v>
      </c>
      <c r="C453" s="13" t="s">
        <v>2255</v>
      </c>
      <c r="D453" s="13" t="s">
        <v>2256</v>
      </c>
      <c r="E453" s="14">
        <v>74021593</v>
      </c>
      <c r="F453" s="14">
        <v>1277</v>
      </c>
      <c r="G453" s="13" t="s">
        <v>27</v>
      </c>
      <c r="H453" s="13" t="s">
        <v>2257</v>
      </c>
      <c r="I453" s="13" t="s">
        <v>2258</v>
      </c>
      <c r="J453" s="14">
        <f>79218975387</f>
      </c>
      <c r="K453" s="9"/>
      <c r="L453" s="13" t="s">
        <v>54</v>
      </c>
      <c r="M453" s="14">
        <v>188</v>
      </c>
      <c r="N453" s="13" t="s">
        <v>55</v>
      </c>
      <c r="O453" s="13" t="s">
        <v>56</v>
      </c>
      <c r="P453" s="13" t="s">
        <v>57</v>
      </c>
      <c r="Q453" s="14" t="s">
        <v>58</v>
      </c>
      <c r="R453" s="13" t="s">
        <v>33</v>
      </c>
      <c r="S453" s="13" t="s">
        <v>34</v>
      </c>
      <c r="T453" s="15">
        <v>0</v>
      </c>
      <c r="U453" s="13"/>
      <c r="V453" s="15">
        <v>0</v>
      </c>
      <c r="W453" s="13" t="s">
        <v>48</v>
      </c>
      <c r="X453" s="15" t="s">
        <v>36</v>
      </c>
      <c r="Y453" s="13" t="s">
        <v>37</v>
      </c>
    </row>
    <row x14ac:dyDescent="0.25" r="454" customHeight="1" ht="18.75">
      <c r="A454" s="5">
        <v>74021594</v>
      </c>
      <c r="B454" s="6">
        <v>1278</v>
      </c>
      <c r="C454" s="7" t="s">
        <v>2259</v>
      </c>
      <c r="D454" s="7" t="s">
        <v>2260</v>
      </c>
      <c r="E454" s="8">
        <v>74021594</v>
      </c>
      <c r="F454" s="8">
        <v>1278</v>
      </c>
      <c r="G454" s="7" t="s">
        <v>27</v>
      </c>
      <c r="H454" s="7" t="s">
        <v>2261</v>
      </c>
      <c r="I454" s="7" t="s">
        <v>2262</v>
      </c>
      <c r="J454" s="8">
        <f>79313582166</f>
      </c>
      <c r="K454" s="9"/>
      <c r="L454" s="7" t="s">
        <v>54</v>
      </c>
      <c r="M454" s="8">
        <v>188</v>
      </c>
      <c r="N454" s="7" t="s">
        <v>55</v>
      </c>
      <c r="O454" s="7" t="s">
        <v>56</v>
      </c>
      <c r="P454" s="7" t="s">
        <v>2263</v>
      </c>
      <c r="Q454" s="8" t="s">
        <v>58</v>
      </c>
      <c r="R454" s="7" t="s">
        <v>33</v>
      </c>
      <c r="S454" s="7" t="s">
        <v>34</v>
      </c>
      <c r="T454" s="10">
        <v>0</v>
      </c>
      <c r="U454" s="7"/>
      <c r="V454" s="10">
        <v>0</v>
      </c>
      <c r="W454" s="7" t="s">
        <v>48</v>
      </c>
      <c r="X454" s="10" t="s">
        <v>36</v>
      </c>
      <c r="Y454" s="7" t="s">
        <v>37</v>
      </c>
    </row>
    <row x14ac:dyDescent="0.25" r="455" customHeight="1" ht="18.75">
      <c r="A455" s="11">
        <v>74021595</v>
      </c>
      <c r="B455" s="12">
        <v>1279</v>
      </c>
      <c r="C455" s="13" t="s">
        <v>2264</v>
      </c>
      <c r="D455" s="13" t="s">
        <v>2265</v>
      </c>
      <c r="E455" s="14">
        <v>74021595</v>
      </c>
      <c r="F455" s="14">
        <v>1279</v>
      </c>
      <c r="G455" s="13" t="s">
        <v>27</v>
      </c>
      <c r="H455" s="13" t="s">
        <v>2266</v>
      </c>
      <c r="I455" s="13" t="s">
        <v>2267</v>
      </c>
      <c r="J455" s="14">
        <f>79274576526</f>
      </c>
      <c r="K455" s="9"/>
      <c r="L455" s="13" t="s">
        <v>54</v>
      </c>
      <c r="M455" s="14">
        <v>188</v>
      </c>
      <c r="N455" s="13" t="s">
        <v>55</v>
      </c>
      <c r="O455" s="13" t="s">
        <v>44</v>
      </c>
      <c r="P455" s="13" t="s">
        <v>292</v>
      </c>
      <c r="Q455" s="14" t="s">
        <v>182</v>
      </c>
      <c r="R455" s="13" t="s">
        <v>33</v>
      </c>
      <c r="S455" s="13" t="s">
        <v>34</v>
      </c>
      <c r="T455" s="15">
        <v>0</v>
      </c>
      <c r="U455" s="13"/>
      <c r="V455" s="15">
        <v>0</v>
      </c>
      <c r="W455" s="13" t="s">
        <v>48</v>
      </c>
      <c r="X455" s="15" t="s">
        <v>65</v>
      </c>
      <c r="Y455" s="13" t="s">
        <v>37</v>
      </c>
    </row>
    <row x14ac:dyDescent="0.25" r="456" customHeight="1" ht="18.75">
      <c r="A456" s="5">
        <v>74021600</v>
      </c>
      <c r="B456" s="6">
        <v>1283</v>
      </c>
      <c r="C456" s="7" t="s">
        <v>2268</v>
      </c>
      <c r="D456" s="7" t="s">
        <v>2269</v>
      </c>
      <c r="E456" s="8">
        <v>74021600</v>
      </c>
      <c r="F456" s="8">
        <v>1283</v>
      </c>
      <c r="G456" s="7" t="s">
        <v>27</v>
      </c>
      <c r="H456" s="7" t="s">
        <v>2270</v>
      </c>
      <c r="I456" s="7" t="s">
        <v>2271</v>
      </c>
      <c r="J456" s="8">
        <f>74233799844</f>
      </c>
      <c r="K456" s="9"/>
      <c r="L456" s="7" t="s">
        <v>721</v>
      </c>
      <c r="M456" s="8">
        <v>115</v>
      </c>
      <c r="N456" s="7" t="s">
        <v>1376</v>
      </c>
      <c r="O456" s="7" t="s">
        <v>723</v>
      </c>
      <c r="P456" s="7" t="s">
        <v>2272</v>
      </c>
      <c r="Q456" s="8" t="s">
        <v>2269</v>
      </c>
      <c r="R456" s="7" t="s">
        <v>33</v>
      </c>
      <c r="S456" s="7" t="s">
        <v>47</v>
      </c>
      <c r="T456" s="10">
        <v>1</v>
      </c>
      <c r="U456" s="7"/>
      <c r="V456" s="10">
        <v>0</v>
      </c>
      <c r="W456" s="7" t="s">
        <v>48</v>
      </c>
      <c r="X456" s="10" t="s">
        <v>65</v>
      </c>
      <c r="Y456" s="7" t="s">
        <v>37</v>
      </c>
    </row>
    <row x14ac:dyDescent="0.25" r="457" customHeight="1" ht="18.75">
      <c r="A457" s="11">
        <v>74021601</v>
      </c>
      <c r="B457" s="12">
        <v>1284</v>
      </c>
      <c r="C457" s="13" t="s">
        <v>2273</v>
      </c>
      <c r="D457" s="13" t="s">
        <v>2274</v>
      </c>
      <c r="E457" s="14">
        <v>74021601</v>
      </c>
      <c r="F457" s="14">
        <v>1284</v>
      </c>
      <c r="G457" s="13" t="s">
        <v>27</v>
      </c>
      <c r="H457" s="13" t="s">
        <v>2275</v>
      </c>
      <c r="I457" s="13" t="s">
        <v>2276</v>
      </c>
      <c r="J457" s="14">
        <f>79635686929</f>
      </c>
      <c r="K457" s="9"/>
      <c r="L457" s="13" t="s">
        <v>721</v>
      </c>
      <c r="M457" s="14">
        <v>116</v>
      </c>
      <c r="N457" s="13" t="s">
        <v>1269</v>
      </c>
      <c r="O457" s="13" t="s">
        <v>723</v>
      </c>
      <c r="P457" s="13" t="s">
        <v>1270</v>
      </c>
      <c r="Q457" s="14" t="s">
        <v>2277</v>
      </c>
      <c r="R457" s="13" t="s">
        <v>33</v>
      </c>
      <c r="S457" s="13" t="s">
        <v>47</v>
      </c>
      <c r="T457" s="15">
        <v>1</v>
      </c>
      <c r="U457" s="13"/>
      <c r="V457" s="15">
        <v>0</v>
      </c>
      <c r="W457" s="13" t="s">
        <v>48</v>
      </c>
      <c r="X457" s="15" t="s">
        <v>65</v>
      </c>
      <c r="Y457" s="13" t="s">
        <v>84</v>
      </c>
    </row>
    <row x14ac:dyDescent="0.25" r="458" customHeight="1" ht="18.75">
      <c r="A458" s="5">
        <v>74021604</v>
      </c>
      <c r="B458" s="6">
        <v>1287</v>
      </c>
      <c r="C458" s="7" t="s">
        <v>2278</v>
      </c>
      <c r="D458" s="7" t="s">
        <v>2279</v>
      </c>
      <c r="E458" s="8">
        <v>74021604</v>
      </c>
      <c r="F458" s="8">
        <v>1287</v>
      </c>
      <c r="G458" s="7" t="s">
        <v>27</v>
      </c>
      <c r="H458" s="7" t="s">
        <v>2280</v>
      </c>
      <c r="I458" s="7" t="s">
        <v>2281</v>
      </c>
      <c r="J458" s="8">
        <f>74959666430</f>
      </c>
      <c r="K458" s="9"/>
      <c r="L458" s="7" t="s">
        <v>266</v>
      </c>
      <c r="M458" s="8">
        <v>178</v>
      </c>
      <c r="N458" s="7" t="s">
        <v>2282</v>
      </c>
      <c r="O458" s="7" t="s">
        <v>32</v>
      </c>
      <c r="P458" s="7" t="s">
        <v>32</v>
      </c>
      <c r="Q458" s="8" t="s">
        <v>2283</v>
      </c>
      <c r="R458" s="7" t="s">
        <v>33</v>
      </c>
      <c r="S458" s="7" t="s">
        <v>34</v>
      </c>
      <c r="T458" s="10">
        <v>0</v>
      </c>
      <c r="U458" s="7" t="s">
        <v>35</v>
      </c>
      <c r="V458" s="10" t="s">
        <v>125</v>
      </c>
      <c r="W458" s="7" t="s">
        <v>48</v>
      </c>
      <c r="X458" s="10" t="s">
        <v>36</v>
      </c>
      <c r="Y458" s="7" t="s">
        <v>59</v>
      </c>
    </row>
    <row x14ac:dyDescent="0.25" r="459" customHeight="1" ht="18.75">
      <c r="A459" s="11">
        <v>74021605</v>
      </c>
      <c r="B459" s="12">
        <v>1288</v>
      </c>
      <c r="C459" s="13" t="s">
        <v>2284</v>
      </c>
      <c r="D459" s="13" t="s">
        <v>2285</v>
      </c>
      <c r="E459" s="14">
        <v>74021605</v>
      </c>
      <c r="F459" s="14">
        <v>1288</v>
      </c>
      <c r="G459" s="13" t="s">
        <v>27</v>
      </c>
      <c r="H459" s="13" t="s">
        <v>2286</v>
      </c>
      <c r="I459" s="13" t="s">
        <v>2287</v>
      </c>
      <c r="J459" s="14">
        <f>74952120000</f>
      </c>
      <c r="K459" s="14">
        <v>5214</v>
      </c>
      <c r="L459" s="13" t="s">
        <v>2034</v>
      </c>
      <c r="M459" s="14">
        <v>141</v>
      </c>
      <c r="N459" s="13" t="s">
        <v>2035</v>
      </c>
      <c r="O459" s="13" t="s">
        <v>82</v>
      </c>
      <c r="P459" s="13" t="s">
        <v>2288</v>
      </c>
      <c r="Q459" s="14" t="s">
        <v>2289</v>
      </c>
      <c r="R459" s="13" t="s">
        <v>33</v>
      </c>
      <c r="S459" s="13" t="s">
        <v>47</v>
      </c>
      <c r="T459" s="15">
        <v>2</v>
      </c>
      <c r="U459" s="13"/>
      <c r="V459" s="15">
        <v>0</v>
      </c>
      <c r="W459" s="13"/>
      <c r="X459" s="15">
        <v>0</v>
      </c>
      <c r="Y459" s="13" t="s">
        <v>37</v>
      </c>
    </row>
    <row x14ac:dyDescent="0.25" r="460" customHeight="1" ht="18.75">
      <c r="A460" s="5">
        <v>74021607</v>
      </c>
      <c r="B460" s="6">
        <v>1290</v>
      </c>
      <c r="C460" s="7" t="s">
        <v>2290</v>
      </c>
      <c r="D460" s="7" t="s">
        <v>2291</v>
      </c>
      <c r="E460" s="8">
        <v>74021607</v>
      </c>
      <c r="F460" s="8">
        <v>1290</v>
      </c>
      <c r="G460" s="7" t="s">
        <v>27</v>
      </c>
      <c r="H460" s="7" t="s">
        <v>2292</v>
      </c>
      <c r="I460" s="7" t="s">
        <v>2293</v>
      </c>
      <c r="J460" s="8">
        <f>74952120000</f>
      </c>
      <c r="K460" s="8">
        <v>5218</v>
      </c>
      <c r="L460" s="7" t="s">
        <v>2034</v>
      </c>
      <c r="M460" s="8">
        <v>141</v>
      </c>
      <c r="N460" s="7" t="s">
        <v>2035</v>
      </c>
      <c r="O460" s="7" t="s">
        <v>82</v>
      </c>
      <c r="P460" s="7" t="s">
        <v>2294</v>
      </c>
      <c r="Q460" s="8" t="s">
        <v>2295</v>
      </c>
      <c r="R460" s="7" t="s">
        <v>33</v>
      </c>
      <c r="S460" s="7" t="s">
        <v>47</v>
      </c>
      <c r="T460" s="10">
        <v>2</v>
      </c>
      <c r="U460" s="7"/>
      <c r="V460" s="10">
        <v>0</v>
      </c>
      <c r="W460" s="7"/>
      <c r="X460" s="10">
        <v>0</v>
      </c>
      <c r="Y460" s="7" t="s">
        <v>37</v>
      </c>
    </row>
    <row x14ac:dyDescent="0.25" r="461" customHeight="1" ht="18.75">
      <c r="A461" s="11">
        <v>74021608</v>
      </c>
      <c r="B461" s="12">
        <v>1291</v>
      </c>
      <c r="C461" s="13" t="s">
        <v>2296</v>
      </c>
      <c r="D461" s="13" t="s">
        <v>2297</v>
      </c>
      <c r="E461" s="14">
        <v>74021608</v>
      </c>
      <c r="F461" s="14">
        <v>1291</v>
      </c>
      <c r="G461" s="13" t="s">
        <v>27</v>
      </c>
      <c r="H461" s="13" t="s">
        <v>2298</v>
      </c>
      <c r="I461" s="13" t="s">
        <v>2299</v>
      </c>
      <c r="J461" s="14">
        <f>74952120000</f>
      </c>
      <c r="K461" s="14">
        <v>5220</v>
      </c>
      <c r="L461" s="13" t="s">
        <v>2034</v>
      </c>
      <c r="M461" s="14">
        <v>141</v>
      </c>
      <c r="N461" s="13" t="s">
        <v>2035</v>
      </c>
      <c r="O461" s="13" t="s">
        <v>82</v>
      </c>
      <c r="P461" s="13" t="s">
        <v>2300</v>
      </c>
      <c r="Q461" s="14" t="s">
        <v>2301</v>
      </c>
      <c r="R461" s="13" t="s">
        <v>33</v>
      </c>
      <c r="S461" s="13" t="s">
        <v>47</v>
      </c>
      <c r="T461" s="15">
        <v>2</v>
      </c>
      <c r="U461" s="13"/>
      <c r="V461" s="15">
        <v>0</v>
      </c>
      <c r="W461" s="13"/>
      <c r="X461" s="15">
        <v>0</v>
      </c>
      <c r="Y461" s="13" t="s">
        <v>37</v>
      </c>
    </row>
    <row x14ac:dyDescent="0.25" r="462" customHeight="1" ht="18.75">
      <c r="A462" s="5">
        <v>74021611</v>
      </c>
      <c r="B462" s="6">
        <v>1294</v>
      </c>
      <c r="C462" s="7" t="s">
        <v>2302</v>
      </c>
      <c r="D462" s="7" t="s">
        <v>2303</v>
      </c>
      <c r="E462" s="8">
        <v>74021611</v>
      </c>
      <c r="F462" s="8">
        <v>1294</v>
      </c>
      <c r="G462" s="7" t="s">
        <v>27</v>
      </c>
      <c r="H462" s="7" t="s">
        <v>1253</v>
      </c>
      <c r="I462" s="7" t="s">
        <v>2304</v>
      </c>
      <c r="J462" s="8">
        <f>74991132604</f>
      </c>
      <c r="K462" s="9"/>
      <c r="L462" s="7" t="s">
        <v>131</v>
      </c>
      <c r="M462" s="8">
        <v>64</v>
      </c>
      <c r="N462" s="7" t="s">
        <v>286</v>
      </c>
      <c r="O462" s="7" t="s">
        <v>32</v>
      </c>
      <c r="P462" s="7" t="s">
        <v>32</v>
      </c>
      <c r="Q462" s="8" t="s">
        <v>2303</v>
      </c>
      <c r="R462" s="7" t="s">
        <v>33</v>
      </c>
      <c r="S462" s="7" t="s">
        <v>47</v>
      </c>
      <c r="T462" s="10">
        <v>1</v>
      </c>
      <c r="U462" s="7" t="s">
        <v>48</v>
      </c>
      <c r="V462" s="10" t="s">
        <v>64</v>
      </c>
      <c r="W462" s="7" t="s">
        <v>48</v>
      </c>
      <c r="X462" s="10" t="s">
        <v>65</v>
      </c>
      <c r="Y462" s="7" t="s">
        <v>59</v>
      </c>
    </row>
    <row x14ac:dyDescent="0.25" r="463" customHeight="1" ht="18.75">
      <c r="A463" s="11">
        <v>74021614</v>
      </c>
      <c r="B463" s="12">
        <v>1296</v>
      </c>
      <c r="C463" s="13" t="s">
        <v>2305</v>
      </c>
      <c r="D463" s="13" t="s">
        <v>2306</v>
      </c>
      <c r="E463" s="14">
        <v>74021614</v>
      </c>
      <c r="F463" s="14">
        <v>1296</v>
      </c>
      <c r="G463" s="13" t="s">
        <v>27</v>
      </c>
      <c r="H463" s="13" t="s">
        <v>2307</v>
      </c>
      <c r="I463" s="13" t="s">
        <v>2308</v>
      </c>
      <c r="J463" s="14">
        <f>79299383102</f>
      </c>
      <c r="K463" s="9"/>
      <c r="L463" s="13" t="s">
        <v>544</v>
      </c>
      <c r="M463" s="14">
        <v>74</v>
      </c>
      <c r="N463" s="13" t="s">
        <v>545</v>
      </c>
      <c r="O463" s="13" t="s">
        <v>119</v>
      </c>
      <c r="P463" s="13" t="s">
        <v>1538</v>
      </c>
      <c r="Q463" s="14" t="s">
        <v>58</v>
      </c>
      <c r="R463" s="13" t="s">
        <v>33</v>
      </c>
      <c r="S463" s="13" t="s">
        <v>47</v>
      </c>
      <c r="T463" s="15">
        <v>2</v>
      </c>
      <c r="U463" s="13"/>
      <c r="V463" s="15">
        <v>0</v>
      </c>
      <c r="W463" s="13" t="s">
        <v>48</v>
      </c>
      <c r="X463" s="15" t="s">
        <v>712</v>
      </c>
      <c r="Y463" s="13" t="s">
        <v>84</v>
      </c>
    </row>
    <row x14ac:dyDescent="0.25" r="464" customHeight="1" ht="18.75">
      <c r="A464" s="5">
        <v>74021615</v>
      </c>
      <c r="B464" s="6">
        <v>1297</v>
      </c>
      <c r="C464" s="7" t="s">
        <v>2309</v>
      </c>
      <c r="D464" s="7" t="s">
        <v>2310</v>
      </c>
      <c r="E464" s="8">
        <v>74021615</v>
      </c>
      <c r="F464" s="8">
        <v>1297</v>
      </c>
      <c r="G464" s="7" t="s">
        <v>27</v>
      </c>
      <c r="H464" s="7" t="s">
        <v>2311</v>
      </c>
      <c r="I464" s="7" t="s">
        <v>2312</v>
      </c>
      <c r="J464" s="8">
        <f>79259543648</f>
      </c>
      <c r="K464" s="9"/>
      <c r="L464" s="7" t="s">
        <v>544</v>
      </c>
      <c r="M464" s="8">
        <v>74</v>
      </c>
      <c r="N464" s="7" t="s">
        <v>545</v>
      </c>
      <c r="O464" s="7" t="s">
        <v>119</v>
      </c>
      <c r="P464" s="7" t="s">
        <v>1538</v>
      </c>
      <c r="Q464" s="8" t="s">
        <v>58</v>
      </c>
      <c r="R464" s="7" t="s">
        <v>33</v>
      </c>
      <c r="S464" s="7" t="s">
        <v>47</v>
      </c>
      <c r="T464" s="10">
        <v>1</v>
      </c>
      <c r="U464" s="7"/>
      <c r="V464" s="10">
        <v>0</v>
      </c>
      <c r="W464" s="7" t="s">
        <v>48</v>
      </c>
      <c r="X464" s="10" t="s">
        <v>65</v>
      </c>
      <c r="Y464" s="7" t="s">
        <v>37</v>
      </c>
    </row>
    <row x14ac:dyDescent="0.25" r="465" customHeight="1" ht="18.75">
      <c r="A465" s="11">
        <v>74021616</v>
      </c>
      <c r="B465" s="12">
        <v>1298</v>
      </c>
      <c r="C465" s="13" t="s">
        <v>2313</v>
      </c>
      <c r="D465" s="13" t="s">
        <v>2314</v>
      </c>
      <c r="E465" s="14">
        <v>74021616</v>
      </c>
      <c r="F465" s="14">
        <v>1298</v>
      </c>
      <c r="G465" s="13" t="s">
        <v>27</v>
      </c>
      <c r="H465" s="13" t="s">
        <v>2315</v>
      </c>
      <c r="I465" s="13" t="s">
        <v>2316</v>
      </c>
      <c r="J465" s="14">
        <f>79259543647</f>
      </c>
      <c r="K465" s="9"/>
      <c r="L465" s="13" t="s">
        <v>544</v>
      </c>
      <c r="M465" s="14">
        <v>74</v>
      </c>
      <c r="N465" s="13" t="s">
        <v>545</v>
      </c>
      <c r="O465" s="13" t="s">
        <v>119</v>
      </c>
      <c r="P465" s="13" t="s">
        <v>1538</v>
      </c>
      <c r="Q465" s="14" t="s">
        <v>58</v>
      </c>
      <c r="R465" s="13" t="s">
        <v>33</v>
      </c>
      <c r="S465" s="13" t="s">
        <v>47</v>
      </c>
      <c r="T465" s="15">
        <v>1</v>
      </c>
      <c r="U465" s="13"/>
      <c r="V465" s="15">
        <v>0</v>
      </c>
      <c r="W465" s="13" t="s">
        <v>48</v>
      </c>
      <c r="X465" s="15" t="s">
        <v>65</v>
      </c>
      <c r="Y465" s="13" t="s">
        <v>59</v>
      </c>
    </row>
    <row x14ac:dyDescent="0.25" r="466" customHeight="1" ht="18.75">
      <c r="A466" s="5">
        <v>74021617</v>
      </c>
      <c r="B466" s="6">
        <v>1299</v>
      </c>
      <c r="C466" s="7" t="s">
        <v>2317</v>
      </c>
      <c r="D466" s="7" t="s">
        <v>2318</v>
      </c>
      <c r="E466" s="8">
        <v>74021617</v>
      </c>
      <c r="F466" s="8">
        <v>1299</v>
      </c>
      <c r="G466" s="7" t="s">
        <v>27</v>
      </c>
      <c r="H466" s="7" t="s">
        <v>2319</v>
      </c>
      <c r="I466" s="7" t="s">
        <v>2320</v>
      </c>
      <c r="J466" s="7" t="s">
        <v>467</v>
      </c>
      <c r="K466" s="9"/>
      <c r="L466" s="7" t="s">
        <v>544</v>
      </c>
      <c r="M466" s="8">
        <v>74</v>
      </c>
      <c r="N466" s="7" t="s">
        <v>545</v>
      </c>
      <c r="O466" s="7" t="s">
        <v>232</v>
      </c>
      <c r="P466" s="7" t="s">
        <v>2321</v>
      </c>
      <c r="Q466" s="8" t="s">
        <v>2318</v>
      </c>
      <c r="R466" s="7" t="s">
        <v>33</v>
      </c>
      <c r="S466" s="7" t="s">
        <v>47</v>
      </c>
      <c r="T466" s="10">
        <v>1</v>
      </c>
      <c r="U466" s="7"/>
      <c r="V466" s="10">
        <v>0</v>
      </c>
      <c r="W466" s="7" t="s">
        <v>48</v>
      </c>
      <c r="X466" s="10" t="s">
        <v>65</v>
      </c>
      <c r="Y466" s="7" t="s">
        <v>126</v>
      </c>
    </row>
    <row x14ac:dyDescent="0.25" r="467" customHeight="1" ht="18.75">
      <c r="A467" s="11">
        <v>74021618</v>
      </c>
      <c r="B467" s="12">
        <v>1300</v>
      </c>
      <c r="C467" s="13" t="s">
        <v>2322</v>
      </c>
      <c r="D467" s="13" t="s">
        <v>2323</v>
      </c>
      <c r="E467" s="14">
        <v>74021618</v>
      </c>
      <c r="F467" s="14">
        <v>1300</v>
      </c>
      <c r="G467" s="13" t="s">
        <v>27</v>
      </c>
      <c r="H467" s="13" t="s">
        <v>2324</v>
      </c>
      <c r="I467" s="13" t="s">
        <v>2325</v>
      </c>
      <c r="J467" s="14">
        <f>79259543645</f>
      </c>
      <c r="K467" s="9"/>
      <c r="L467" s="13" t="s">
        <v>544</v>
      </c>
      <c r="M467" s="14">
        <v>74</v>
      </c>
      <c r="N467" s="13" t="s">
        <v>545</v>
      </c>
      <c r="O467" s="13" t="s">
        <v>232</v>
      </c>
      <c r="P467" s="13" t="s">
        <v>2153</v>
      </c>
      <c r="Q467" s="14" t="s">
        <v>2323</v>
      </c>
      <c r="R467" s="13" t="s">
        <v>33</v>
      </c>
      <c r="S467" s="13" t="s">
        <v>47</v>
      </c>
      <c r="T467" s="15">
        <v>1</v>
      </c>
      <c r="U467" s="13"/>
      <c r="V467" s="15">
        <v>0</v>
      </c>
      <c r="W467" s="13" t="s">
        <v>48</v>
      </c>
      <c r="X467" s="15" t="s">
        <v>65</v>
      </c>
      <c r="Y467" s="13" t="s">
        <v>37</v>
      </c>
    </row>
    <row x14ac:dyDescent="0.25" r="468" customHeight="1" ht="18.75">
      <c r="A468" s="5">
        <v>74021619</v>
      </c>
      <c r="B468" s="6">
        <v>1301</v>
      </c>
      <c r="C468" s="7" t="s">
        <v>2326</v>
      </c>
      <c r="D468" s="7" t="s">
        <v>2327</v>
      </c>
      <c r="E468" s="8">
        <v>74021619</v>
      </c>
      <c r="F468" s="8">
        <v>1301</v>
      </c>
      <c r="G468" s="7" t="s">
        <v>27</v>
      </c>
      <c r="H468" s="7" t="s">
        <v>2328</v>
      </c>
      <c r="I468" s="7" t="s">
        <v>2329</v>
      </c>
      <c r="J468" s="8">
        <f>79661684091</f>
      </c>
      <c r="K468" s="9"/>
      <c r="L468" s="7" t="s">
        <v>30</v>
      </c>
      <c r="M468" s="8">
        <v>56</v>
      </c>
      <c r="N468" s="7" t="s">
        <v>31</v>
      </c>
      <c r="O468" s="7" t="s">
        <v>44</v>
      </c>
      <c r="P468" s="7" t="s">
        <v>1653</v>
      </c>
      <c r="Q468" s="8" t="s">
        <v>2327</v>
      </c>
      <c r="R468" s="7" t="s">
        <v>33</v>
      </c>
      <c r="S468" s="7" t="s">
        <v>47</v>
      </c>
      <c r="T468" s="10">
        <v>1</v>
      </c>
      <c r="U468" s="7"/>
      <c r="V468" s="10">
        <v>0</v>
      </c>
      <c r="W468" s="7" t="s">
        <v>48</v>
      </c>
      <c r="X468" s="10" t="s">
        <v>65</v>
      </c>
      <c r="Y468" s="7" t="s">
        <v>37</v>
      </c>
    </row>
    <row x14ac:dyDescent="0.25" r="469" customHeight="1" ht="18.75">
      <c r="A469" s="11">
        <v>74021620</v>
      </c>
      <c r="B469" s="12">
        <v>1302</v>
      </c>
      <c r="C469" s="13" t="s">
        <v>2330</v>
      </c>
      <c r="D469" s="13" t="s">
        <v>2331</v>
      </c>
      <c r="E469" s="14">
        <v>74021620</v>
      </c>
      <c r="F469" s="14">
        <v>1302</v>
      </c>
      <c r="G469" s="13" t="s">
        <v>27</v>
      </c>
      <c r="H469" s="13" t="s">
        <v>2332</v>
      </c>
      <c r="I469" s="13" t="s">
        <v>2333</v>
      </c>
      <c r="J469" s="14">
        <f>79661684094</f>
      </c>
      <c r="K469" s="9"/>
      <c r="L469" s="13" t="s">
        <v>30</v>
      </c>
      <c r="M469" s="14">
        <v>56</v>
      </c>
      <c r="N469" s="13" t="s">
        <v>31</v>
      </c>
      <c r="O469" s="13" t="s">
        <v>44</v>
      </c>
      <c r="P469" s="13" t="s">
        <v>1653</v>
      </c>
      <c r="Q469" s="14" t="s">
        <v>2331</v>
      </c>
      <c r="R469" s="13" t="s">
        <v>33</v>
      </c>
      <c r="S469" s="13" t="s">
        <v>47</v>
      </c>
      <c r="T469" s="15">
        <v>1</v>
      </c>
      <c r="U469" s="13"/>
      <c r="V469" s="15">
        <v>0</v>
      </c>
      <c r="W469" s="13" t="s">
        <v>48</v>
      </c>
      <c r="X469" s="15" t="s">
        <v>65</v>
      </c>
      <c r="Y469" s="13" t="s">
        <v>37</v>
      </c>
    </row>
    <row x14ac:dyDescent="0.25" r="470" customHeight="1" ht="18.75">
      <c r="A470" s="5">
        <v>74021621</v>
      </c>
      <c r="B470" s="6">
        <v>1303</v>
      </c>
      <c r="C470" s="7" t="s">
        <v>2334</v>
      </c>
      <c r="D470" s="7" t="s">
        <v>2335</v>
      </c>
      <c r="E470" s="8">
        <v>74021621</v>
      </c>
      <c r="F470" s="8">
        <v>1303</v>
      </c>
      <c r="G470" s="7" t="s">
        <v>27</v>
      </c>
      <c r="H470" s="7" t="s">
        <v>2336</v>
      </c>
      <c r="I470" s="7" t="s">
        <v>2337</v>
      </c>
      <c r="J470" s="8">
        <f>79661684135</f>
      </c>
      <c r="K470" s="9"/>
      <c r="L470" s="7" t="s">
        <v>30</v>
      </c>
      <c r="M470" s="8">
        <v>56</v>
      </c>
      <c r="N470" s="7" t="s">
        <v>31</v>
      </c>
      <c r="O470" s="7" t="s">
        <v>232</v>
      </c>
      <c r="P470" s="7" t="s">
        <v>2338</v>
      </c>
      <c r="Q470" s="8" t="s">
        <v>58</v>
      </c>
      <c r="R470" s="7" t="s">
        <v>33</v>
      </c>
      <c r="S470" s="7" t="s">
        <v>47</v>
      </c>
      <c r="T470" s="10">
        <v>1</v>
      </c>
      <c r="U470" s="7"/>
      <c r="V470" s="10">
        <v>0</v>
      </c>
      <c r="W470" s="7" t="s">
        <v>48</v>
      </c>
      <c r="X470" s="10" t="s">
        <v>65</v>
      </c>
      <c r="Y470" s="7" t="s">
        <v>59</v>
      </c>
    </row>
    <row x14ac:dyDescent="0.25" r="471" customHeight="1" ht="18.75">
      <c r="A471" s="11">
        <v>74021624</v>
      </c>
      <c r="B471" s="12">
        <v>1306</v>
      </c>
      <c r="C471" s="13" t="s">
        <v>2339</v>
      </c>
      <c r="D471" s="13" t="s">
        <v>2340</v>
      </c>
      <c r="E471" s="14">
        <v>74021624</v>
      </c>
      <c r="F471" s="14">
        <v>1306</v>
      </c>
      <c r="G471" s="13" t="s">
        <v>27</v>
      </c>
      <c r="H471" s="13" t="s">
        <v>2341</v>
      </c>
      <c r="I471" s="13" t="s">
        <v>2342</v>
      </c>
      <c r="J471" s="14">
        <f>73882220484</f>
      </c>
      <c r="K471" s="9"/>
      <c r="L471" s="13" t="s">
        <v>71</v>
      </c>
      <c r="M471" s="14">
        <v>100270</v>
      </c>
      <c r="N471" s="13" t="s">
        <v>2343</v>
      </c>
      <c r="O471" s="13" t="s">
        <v>73</v>
      </c>
      <c r="P471" s="13" t="s">
        <v>2344</v>
      </c>
      <c r="Q471" s="14" t="s">
        <v>2345</v>
      </c>
      <c r="R471" s="13" t="s">
        <v>33</v>
      </c>
      <c r="S471" s="13" t="s">
        <v>47</v>
      </c>
      <c r="T471" s="15">
        <v>1</v>
      </c>
      <c r="U471" s="13"/>
      <c r="V471" s="15">
        <v>0</v>
      </c>
      <c r="W471" s="13" t="s">
        <v>48</v>
      </c>
      <c r="X471" s="15" t="s">
        <v>36</v>
      </c>
      <c r="Y471" s="13" t="s">
        <v>59</v>
      </c>
    </row>
    <row x14ac:dyDescent="0.25" r="472" customHeight="1" ht="18.75">
      <c r="A472" s="5">
        <v>74321626</v>
      </c>
      <c r="B472" s="6">
        <v>1308</v>
      </c>
      <c r="C472" s="7" t="s">
        <v>2346</v>
      </c>
      <c r="D472" s="7" t="s">
        <v>2347</v>
      </c>
      <c r="E472" s="8">
        <v>74321626</v>
      </c>
      <c r="F472" s="8">
        <v>1308</v>
      </c>
      <c r="G472" s="7" t="s">
        <v>27</v>
      </c>
      <c r="H472" s="7" t="s">
        <v>2348</v>
      </c>
      <c r="I472" s="7" t="s">
        <v>2349</v>
      </c>
      <c r="J472" s="8">
        <f>74952408424</f>
      </c>
      <c r="K472" s="8">
        <v>6490</v>
      </c>
      <c r="L472" s="7" t="s">
        <v>1276</v>
      </c>
      <c r="M472" s="8">
        <v>105</v>
      </c>
      <c r="N472" s="7" t="s">
        <v>1277</v>
      </c>
      <c r="O472" s="7" t="s">
        <v>96</v>
      </c>
      <c r="P472" s="7" t="s">
        <v>2350</v>
      </c>
      <c r="Q472" s="8" t="s">
        <v>182</v>
      </c>
      <c r="R472" s="7" t="s">
        <v>33</v>
      </c>
      <c r="S472" s="7" t="s">
        <v>47</v>
      </c>
      <c r="T472" s="10">
        <v>1</v>
      </c>
      <c r="U472" s="7"/>
      <c r="V472" s="10">
        <v>0</v>
      </c>
      <c r="W472" s="7" t="s">
        <v>48</v>
      </c>
      <c r="X472" s="10" t="s">
        <v>65</v>
      </c>
      <c r="Y472" s="7" t="s">
        <v>59</v>
      </c>
    </row>
    <row x14ac:dyDescent="0.25" r="473" customHeight="1" ht="18.75">
      <c r="A473" s="11">
        <v>74321627</v>
      </c>
      <c r="B473" s="12">
        <v>1309</v>
      </c>
      <c r="C473" s="13" t="s">
        <v>2351</v>
      </c>
      <c r="D473" s="13" t="s">
        <v>2352</v>
      </c>
      <c r="E473" s="14">
        <v>74321627</v>
      </c>
      <c r="F473" s="14">
        <v>1309</v>
      </c>
      <c r="G473" s="13" t="s">
        <v>27</v>
      </c>
      <c r="H473" s="13" t="s">
        <v>2353</v>
      </c>
      <c r="I473" s="13" t="s">
        <v>2354</v>
      </c>
      <c r="J473" s="14">
        <f>74952408424</f>
      </c>
      <c r="K473" s="14">
        <v>6491</v>
      </c>
      <c r="L473" s="13" t="s">
        <v>1276</v>
      </c>
      <c r="M473" s="14">
        <v>105</v>
      </c>
      <c r="N473" s="13" t="s">
        <v>1277</v>
      </c>
      <c r="O473" s="13" t="s">
        <v>73</v>
      </c>
      <c r="P473" s="13" t="s">
        <v>2181</v>
      </c>
      <c r="Q473" s="14" t="s">
        <v>182</v>
      </c>
      <c r="R473" s="13" t="s">
        <v>33</v>
      </c>
      <c r="S473" s="13" t="s">
        <v>47</v>
      </c>
      <c r="T473" s="15">
        <v>2</v>
      </c>
      <c r="U473" s="13"/>
      <c r="V473" s="15">
        <v>0</v>
      </c>
      <c r="W473" s="13" t="s">
        <v>48</v>
      </c>
      <c r="X473" s="15" t="s">
        <v>36</v>
      </c>
      <c r="Y473" s="13" t="s">
        <v>37</v>
      </c>
    </row>
    <row x14ac:dyDescent="0.25" r="474" customHeight="1" ht="18.75">
      <c r="A474" s="5">
        <v>74021627</v>
      </c>
      <c r="B474" s="6">
        <v>1311</v>
      </c>
      <c r="C474" s="7" t="s">
        <v>2355</v>
      </c>
      <c r="D474" s="7" t="s">
        <v>2356</v>
      </c>
      <c r="E474" s="8">
        <v>74021627</v>
      </c>
      <c r="F474" s="8">
        <v>1311</v>
      </c>
      <c r="G474" s="7" t="s">
        <v>27</v>
      </c>
      <c r="H474" s="7" t="s">
        <v>2357</v>
      </c>
      <c r="I474" s="7" t="s">
        <v>2358</v>
      </c>
      <c r="J474" s="8">
        <f>74950230399</f>
      </c>
      <c r="K474" s="9"/>
      <c r="L474" s="7" t="s">
        <v>1334</v>
      </c>
      <c r="M474" s="8">
        <v>123</v>
      </c>
      <c r="N474" s="7" t="s">
        <v>1335</v>
      </c>
      <c r="O474" s="7" t="s">
        <v>32</v>
      </c>
      <c r="P474" s="7" t="s">
        <v>32</v>
      </c>
      <c r="Q474" s="8" t="s">
        <v>58</v>
      </c>
      <c r="R474" s="7" t="s">
        <v>33</v>
      </c>
      <c r="S474" s="7" t="s">
        <v>47</v>
      </c>
      <c r="T474" s="10">
        <v>1</v>
      </c>
      <c r="U474" s="7"/>
      <c r="V474" s="10">
        <v>0</v>
      </c>
      <c r="W474" s="7" t="s">
        <v>48</v>
      </c>
      <c r="X474" s="10" t="s">
        <v>472</v>
      </c>
      <c r="Y474" s="7" t="s">
        <v>37</v>
      </c>
    </row>
    <row x14ac:dyDescent="0.25" r="475" customHeight="1" ht="18.75">
      <c r="A475" s="11">
        <v>74321628</v>
      </c>
      <c r="B475" s="12">
        <v>1312</v>
      </c>
      <c r="C475" s="13" t="s">
        <v>2359</v>
      </c>
      <c r="D475" s="13" t="s">
        <v>2360</v>
      </c>
      <c r="E475" s="14">
        <v>74321628</v>
      </c>
      <c r="F475" s="14">
        <v>1312</v>
      </c>
      <c r="G475" s="13" t="s">
        <v>27</v>
      </c>
      <c r="H475" s="13" t="s">
        <v>2361</v>
      </c>
      <c r="I475" s="13" t="s">
        <v>2362</v>
      </c>
      <c r="J475" s="14">
        <f>74952408424</f>
      </c>
      <c r="K475" s="14">
        <v>6492</v>
      </c>
      <c r="L475" s="13" t="s">
        <v>1276</v>
      </c>
      <c r="M475" s="14">
        <v>105</v>
      </c>
      <c r="N475" s="13" t="s">
        <v>1277</v>
      </c>
      <c r="O475" s="13" t="s">
        <v>82</v>
      </c>
      <c r="P475" s="13" t="s">
        <v>2363</v>
      </c>
      <c r="Q475" s="14" t="s">
        <v>58</v>
      </c>
      <c r="R475" s="13" t="s">
        <v>33</v>
      </c>
      <c r="S475" s="13" t="s">
        <v>47</v>
      </c>
      <c r="T475" s="15">
        <v>2</v>
      </c>
      <c r="U475" s="13"/>
      <c r="V475" s="15">
        <v>0</v>
      </c>
      <c r="W475" s="13" t="s">
        <v>48</v>
      </c>
      <c r="X475" s="15" t="s">
        <v>65</v>
      </c>
      <c r="Y475" s="13" t="s">
        <v>84</v>
      </c>
    </row>
    <row x14ac:dyDescent="0.25" r="476" customHeight="1" ht="18.75">
      <c r="A476" s="5">
        <v>74321629</v>
      </c>
      <c r="B476" s="6">
        <v>1313</v>
      </c>
      <c r="C476" s="7" t="s">
        <v>2364</v>
      </c>
      <c r="D476" s="7" t="s">
        <v>2365</v>
      </c>
      <c r="E476" s="8">
        <v>74321629</v>
      </c>
      <c r="F476" s="8">
        <v>1313</v>
      </c>
      <c r="G476" s="7" t="s">
        <v>27</v>
      </c>
      <c r="H476" s="7" t="s">
        <v>2366</v>
      </c>
      <c r="I476" s="7" t="s">
        <v>2367</v>
      </c>
      <c r="J476" s="8">
        <f>74952408424</f>
      </c>
      <c r="K476" s="8">
        <v>6693</v>
      </c>
      <c r="L476" s="7" t="s">
        <v>1276</v>
      </c>
      <c r="M476" s="8">
        <v>105</v>
      </c>
      <c r="N476" s="7" t="s">
        <v>1277</v>
      </c>
      <c r="O476" s="7" t="s">
        <v>82</v>
      </c>
      <c r="P476" s="7" t="s">
        <v>2368</v>
      </c>
      <c r="Q476" s="8" t="s">
        <v>58</v>
      </c>
      <c r="R476" s="7" t="s">
        <v>33</v>
      </c>
      <c r="S476" s="7" t="s">
        <v>47</v>
      </c>
      <c r="T476" s="10">
        <v>2</v>
      </c>
      <c r="U476" s="7"/>
      <c r="V476" s="10">
        <v>0</v>
      </c>
      <c r="W476" s="7" t="s">
        <v>48</v>
      </c>
      <c r="X476" s="10" t="s">
        <v>65</v>
      </c>
      <c r="Y476" s="7" t="s">
        <v>84</v>
      </c>
    </row>
    <row x14ac:dyDescent="0.25" r="477" customHeight="1" ht="18.75">
      <c r="A477" s="11">
        <v>74021634</v>
      </c>
      <c r="B477" s="12">
        <v>1318</v>
      </c>
      <c r="C477" s="13" t="s">
        <v>2369</v>
      </c>
      <c r="D477" s="13" t="s">
        <v>2370</v>
      </c>
      <c r="E477" s="14">
        <v>74021634</v>
      </c>
      <c r="F477" s="14">
        <v>1318</v>
      </c>
      <c r="G477" s="13" t="s">
        <v>27</v>
      </c>
      <c r="H477" s="13" t="s">
        <v>2371</v>
      </c>
      <c r="I477" s="13" t="s">
        <v>2372</v>
      </c>
      <c r="J477" s="14">
        <f>79660131421</f>
      </c>
      <c r="K477" s="9"/>
      <c r="L477" s="13" t="s">
        <v>30</v>
      </c>
      <c r="M477" s="14">
        <v>56</v>
      </c>
      <c r="N477" s="13" t="s">
        <v>31</v>
      </c>
      <c r="O477" s="13" t="s">
        <v>32</v>
      </c>
      <c r="P477" s="13" t="s">
        <v>32</v>
      </c>
      <c r="Q477" s="14" t="s">
        <v>2373</v>
      </c>
      <c r="R477" s="13" t="s">
        <v>33</v>
      </c>
      <c r="S477" s="13" t="s">
        <v>47</v>
      </c>
      <c r="T477" s="15">
        <v>1</v>
      </c>
      <c r="U477" s="13"/>
      <c r="V477" s="15">
        <v>0</v>
      </c>
      <c r="W477" s="13" t="s">
        <v>48</v>
      </c>
      <c r="X477" s="15" t="s">
        <v>65</v>
      </c>
      <c r="Y477" s="13" t="s">
        <v>37</v>
      </c>
    </row>
    <row x14ac:dyDescent="0.25" r="478" customHeight="1" ht="18.75">
      <c r="A478" s="5">
        <v>74021635</v>
      </c>
      <c r="B478" s="6">
        <v>1319</v>
      </c>
      <c r="C478" s="7" t="s">
        <v>2374</v>
      </c>
      <c r="D478" s="7" t="s">
        <v>2375</v>
      </c>
      <c r="E478" s="8">
        <v>74021635</v>
      </c>
      <c r="F478" s="8">
        <v>1319</v>
      </c>
      <c r="G478" s="7" t="s">
        <v>27</v>
      </c>
      <c r="H478" s="7" t="s">
        <v>2376</v>
      </c>
      <c r="I478" s="7" t="s">
        <v>2377</v>
      </c>
      <c r="J478" s="8">
        <f>74112253925</f>
      </c>
      <c r="K478" s="9"/>
      <c r="L478" s="7" t="s">
        <v>508</v>
      </c>
      <c r="M478" s="8">
        <v>159</v>
      </c>
      <c r="N478" s="7" t="s">
        <v>1851</v>
      </c>
      <c r="O478" s="7" t="s">
        <v>723</v>
      </c>
      <c r="P478" s="7" t="s">
        <v>1852</v>
      </c>
      <c r="Q478" s="8" t="s">
        <v>1853</v>
      </c>
      <c r="R478" s="7" t="s">
        <v>33</v>
      </c>
      <c r="S478" s="7" t="s">
        <v>34</v>
      </c>
      <c r="T478" s="10">
        <v>0</v>
      </c>
      <c r="U478" s="7"/>
      <c r="V478" s="10">
        <v>0</v>
      </c>
      <c r="W478" s="7" t="s">
        <v>48</v>
      </c>
      <c r="X478" s="10" t="s">
        <v>36</v>
      </c>
      <c r="Y478" s="7" t="s">
        <v>126</v>
      </c>
    </row>
    <row x14ac:dyDescent="0.25" r="479" customHeight="1" ht="18.75">
      <c r="A479" s="11">
        <v>74021636</v>
      </c>
      <c r="B479" s="12">
        <v>1320</v>
      </c>
      <c r="C479" s="13" t="s">
        <v>2378</v>
      </c>
      <c r="D479" s="13" t="s">
        <v>2379</v>
      </c>
      <c r="E479" s="14">
        <v>74021636</v>
      </c>
      <c r="F479" s="14">
        <v>1320</v>
      </c>
      <c r="G479" s="13" t="s">
        <v>27</v>
      </c>
      <c r="H479" s="13" t="s">
        <v>2380</v>
      </c>
      <c r="I479" s="13" t="s">
        <v>2381</v>
      </c>
      <c r="J479" s="14">
        <f>74951980929</f>
      </c>
      <c r="K479" s="9"/>
      <c r="L479" s="13" t="s">
        <v>80</v>
      </c>
      <c r="M479" s="14">
        <v>235</v>
      </c>
      <c r="N479" s="13" t="s">
        <v>564</v>
      </c>
      <c r="O479" s="13" t="s">
        <v>82</v>
      </c>
      <c r="P479" s="13" t="s">
        <v>268</v>
      </c>
      <c r="Q479" s="14" t="s">
        <v>58</v>
      </c>
      <c r="R479" s="13" t="s">
        <v>33</v>
      </c>
      <c r="S479" s="13" t="s">
        <v>47</v>
      </c>
      <c r="T479" s="15">
        <v>1</v>
      </c>
      <c r="U479" s="13"/>
      <c r="V479" s="15">
        <v>0</v>
      </c>
      <c r="W479" s="13" t="s">
        <v>48</v>
      </c>
      <c r="X479" s="15" t="s">
        <v>65</v>
      </c>
      <c r="Y479" s="13" t="s">
        <v>84</v>
      </c>
    </row>
    <row x14ac:dyDescent="0.25" r="480" customHeight="1" ht="18.75">
      <c r="A480" s="5">
        <v>74021637</v>
      </c>
      <c r="B480" s="6">
        <v>1321</v>
      </c>
      <c r="C480" s="7" t="s">
        <v>2382</v>
      </c>
      <c r="D480" s="7" t="s">
        <v>2383</v>
      </c>
      <c r="E480" s="8">
        <v>74021637</v>
      </c>
      <c r="F480" s="8">
        <v>1321</v>
      </c>
      <c r="G480" s="7" t="s">
        <v>27</v>
      </c>
      <c r="H480" s="7" t="s">
        <v>2384</v>
      </c>
      <c r="I480" s="7" t="s">
        <v>2385</v>
      </c>
      <c r="J480" s="8">
        <f>79384831735</f>
      </c>
      <c r="K480" s="9"/>
      <c r="L480" s="7" t="s">
        <v>54</v>
      </c>
      <c r="M480" s="8">
        <v>188</v>
      </c>
      <c r="N480" s="7" t="s">
        <v>55</v>
      </c>
      <c r="O480" s="7" t="s">
        <v>119</v>
      </c>
      <c r="P480" s="7" t="s">
        <v>1045</v>
      </c>
      <c r="Q480" s="8" t="s">
        <v>58</v>
      </c>
      <c r="R480" s="7" t="s">
        <v>33</v>
      </c>
      <c r="S480" s="7" t="s">
        <v>47</v>
      </c>
      <c r="T480" s="10">
        <v>1</v>
      </c>
      <c r="U480" s="7"/>
      <c r="V480" s="10">
        <v>0</v>
      </c>
      <c r="W480" s="7" t="s">
        <v>48</v>
      </c>
      <c r="X480" s="10" t="s">
        <v>36</v>
      </c>
      <c r="Y480" s="7" t="s">
        <v>84</v>
      </c>
    </row>
    <row x14ac:dyDescent="0.25" r="481" customHeight="1" ht="18.75">
      <c r="A481" s="11">
        <v>74021638</v>
      </c>
      <c r="B481" s="12">
        <v>1322</v>
      </c>
      <c r="C481" s="13" t="s">
        <v>2386</v>
      </c>
      <c r="D481" s="13" t="s">
        <v>2387</v>
      </c>
      <c r="E481" s="14">
        <v>74021638</v>
      </c>
      <c r="F481" s="14">
        <v>1322</v>
      </c>
      <c r="G481" s="13" t="s">
        <v>27</v>
      </c>
      <c r="H481" s="13" t="s">
        <v>2388</v>
      </c>
      <c r="I481" s="13" t="s">
        <v>2389</v>
      </c>
      <c r="J481" s="14">
        <f>79312584651</f>
      </c>
      <c r="K481" s="9"/>
      <c r="L481" s="13" t="s">
        <v>54</v>
      </c>
      <c r="M481" s="14">
        <v>188</v>
      </c>
      <c r="N481" s="13" t="s">
        <v>55</v>
      </c>
      <c r="O481" s="13" t="s">
        <v>56</v>
      </c>
      <c r="P481" s="13" t="s">
        <v>57</v>
      </c>
      <c r="Q481" s="14" t="s">
        <v>58</v>
      </c>
      <c r="R481" s="13" t="s">
        <v>33</v>
      </c>
      <c r="S481" s="13" t="s">
        <v>34</v>
      </c>
      <c r="T481" s="15">
        <v>0</v>
      </c>
      <c r="U481" s="13"/>
      <c r="V481" s="15">
        <v>0</v>
      </c>
      <c r="W481" s="13" t="s">
        <v>48</v>
      </c>
      <c r="X481" s="15" t="s">
        <v>36</v>
      </c>
      <c r="Y481" s="13" t="s">
        <v>37</v>
      </c>
    </row>
    <row x14ac:dyDescent="0.25" r="482" customHeight="1" ht="18.75">
      <c r="A482" s="5">
        <v>74021639</v>
      </c>
      <c r="B482" s="6">
        <v>1323</v>
      </c>
      <c r="C482" s="7" t="s">
        <v>2390</v>
      </c>
      <c r="D482" s="7" t="s">
        <v>2391</v>
      </c>
      <c r="E482" s="8">
        <v>74021639</v>
      </c>
      <c r="F482" s="8">
        <v>1323</v>
      </c>
      <c r="G482" s="7" t="s">
        <v>27</v>
      </c>
      <c r="H482" s="7" t="s">
        <v>2392</v>
      </c>
      <c r="I482" s="7" t="s">
        <v>2393</v>
      </c>
      <c r="J482" s="8">
        <f>79274576478</f>
      </c>
      <c r="K482" s="9"/>
      <c r="L482" s="7" t="s">
        <v>54</v>
      </c>
      <c r="M482" s="8">
        <v>188</v>
      </c>
      <c r="N482" s="7" t="s">
        <v>55</v>
      </c>
      <c r="O482" s="7" t="s">
        <v>44</v>
      </c>
      <c r="P482" s="7" t="s">
        <v>1505</v>
      </c>
      <c r="Q482" s="8" t="s">
        <v>58</v>
      </c>
      <c r="R482" s="7" t="s">
        <v>33</v>
      </c>
      <c r="S482" s="7" t="s">
        <v>47</v>
      </c>
      <c r="T482" s="10">
        <v>1</v>
      </c>
      <c r="U482" s="7"/>
      <c r="V482" s="10">
        <v>0</v>
      </c>
      <c r="W482" s="7" t="s">
        <v>48</v>
      </c>
      <c r="X482" s="10" t="s">
        <v>65</v>
      </c>
      <c r="Y482" s="7" t="s">
        <v>37</v>
      </c>
    </row>
    <row x14ac:dyDescent="0.25" r="483" customHeight="1" ht="18.75">
      <c r="A483" s="11">
        <v>74021640</v>
      </c>
      <c r="B483" s="12">
        <v>1324</v>
      </c>
      <c r="C483" s="13" t="s">
        <v>2394</v>
      </c>
      <c r="D483" s="13" t="s">
        <v>2395</v>
      </c>
      <c r="E483" s="14">
        <v>74021640</v>
      </c>
      <c r="F483" s="14">
        <v>1324</v>
      </c>
      <c r="G483" s="13" t="s">
        <v>27</v>
      </c>
      <c r="H483" s="13" t="s">
        <v>2396</v>
      </c>
      <c r="I483" s="13" t="s">
        <v>2397</v>
      </c>
      <c r="J483" s="14">
        <f>79522260342</f>
      </c>
      <c r="K483" s="9"/>
      <c r="L483" s="13" t="s">
        <v>54</v>
      </c>
      <c r="M483" s="14">
        <v>188</v>
      </c>
      <c r="N483" s="13" t="s">
        <v>55</v>
      </c>
      <c r="O483" s="13" t="s">
        <v>56</v>
      </c>
      <c r="P483" s="13" t="s">
        <v>57</v>
      </c>
      <c r="Q483" s="14" t="s">
        <v>58</v>
      </c>
      <c r="R483" s="13" t="s">
        <v>33</v>
      </c>
      <c r="S483" s="13" t="s">
        <v>47</v>
      </c>
      <c r="T483" s="15">
        <v>1</v>
      </c>
      <c r="U483" s="13"/>
      <c r="V483" s="15">
        <v>0</v>
      </c>
      <c r="W483" s="13" t="s">
        <v>48</v>
      </c>
      <c r="X483" s="15" t="s">
        <v>36</v>
      </c>
      <c r="Y483" s="13" t="s">
        <v>37</v>
      </c>
    </row>
    <row x14ac:dyDescent="0.25" r="484" customHeight="1" ht="18.75">
      <c r="A484" s="5">
        <v>74009310</v>
      </c>
      <c r="B484" s="6">
        <v>1326</v>
      </c>
      <c r="C484" s="7" t="s">
        <v>2398</v>
      </c>
      <c r="D484" s="7" t="s">
        <v>2399</v>
      </c>
      <c r="E484" s="8">
        <v>74009310</v>
      </c>
      <c r="F484" s="8">
        <v>1326</v>
      </c>
      <c r="G484" s="7" t="s">
        <v>27</v>
      </c>
      <c r="H484" s="7" t="s">
        <v>2400</v>
      </c>
      <c r="I484" s="7" t="s">
        <v>2401</v>
      </c>
      <c r="J484" s="8">
        <f>79312575376</f>
      </c>
      <c r="K484" s="9"/>
      <c r="L484" s="7" t="s">
        <v>54</v>
      </c>
      <c r="M484" s="8">
        <v>188</v>
      </c>
      <c r="N484" s="7" t="s">
        <v>55</v>
      </c>
      <c r="O484" s="7" t="s">
        <v>56</v>
      </c>
      <c r="P484" s="7" t="s">
        <v>57</v>
      </c>
      <c r="Q484" s="8" t="s">
        <v>2402</v>
      </c>
      <c r="R484" s="7" t="s">
        <v>33</v>
      </c>
      <c r="S484" s="7" t="s">
        <v>34</v>
      </c>
      <c r="T484" s="10">
        <v>0</v>
      </c>
      <c r="U484" s="7" t="s">
        <v>48</v>
      </c>
      <c r="V484" s="10" t="s">
        <v>64</v>
      </c>
      <c r="W484" s="7" t="s">
        <v>48</v>
      </c>
      <c r="X484" s="10" t="s">
        <v>36</v>
      </c>
      <c r="Y484" s="7" t="s">
        <v>37</v>
      </c>
    </row>
    <row x14ac:dyDescent="0.25" r="485" customHeight="1" ht="18.75">
      <c r="A485" s="11">
        <v>74011239</v>
      </c>
      <c r="B485" s="12">
        <v>1327</v>
      </c>
      <c r="C485" s="13" t="s">
        <v>2403</v>
      </c>
      <c r="D485" s="13" t="s">
        <v>2404</v>
      </c>
      <c r="E485" s="14">
        <v>74011239</v>
      </c>
      <c r="F485" s="14">
        <v>1327</v>
      </c>
      <c r="G485" s="13" t="s">
        <v>27</v>
      </c>
      <c r="H485" s="13" t="s">
        <v>2405</v>
      </c>
      <c r="I485" s="13" t="s">
        <v>2406</v>
      </c>
      <c r="J485" s="14">
        <f>79218975380</f>
      </c>
      <c r="K485" s="9"/>
      <c r="L485" s="13" t="s">
        <v>54</v>
      </c>
      <c r="M485" s="14">
        <v>188</v>
      </c>
      <c r="N485" s="13" t="s">
        <v>55</v>
      </c>
      <c r="O485" s="13" t="s">
        <v>56</v>
      </c>
      <c r="P485" s="13" t="s">
        <v>57</v>
      </c>
      <c r="Q485" s="14" t="s">
        <v>58</v>
      </c>
      <c r="R485" s="13" t="s">
        <v>33</v>
      </c>
      <c r="S485" s="13" t="s">
        <v>34</v>
      </c>
      <c r="T485" s="15">
        <v>0</v>
      </c>
      <c r="U485" s="13" t="s">
        <v>35</v>
      </c>
      <c r="V485" s="15" t="s">
        <v>64</v>
      </c>
      <c r="W485" s="13" t="s">
        <v>48</v>
      </c>
      <c r="X485" s="15" t="s">
        <v>36</v>
      </c>
      <c r="Y485" s="13" t="s">
        <v>37</v>
      </c>
    </row>
    <row x14ac:dyDescent="0.25" r="486" customHeight="1" ht="18.75">
      <c r="A486" s="5">
        <v>74011885</v>
      </c>
      <c r="B486" s="6">
        <v>1330</v>
      </c>
      <c r="C486" s="7" t="s">
        <v>2407</v>
      </c>
      <c r="D486" s="7" t="s">
        <v>2408</v>
      </c>
      <c r="E486" s="8">
        <v>74011885</v>
      </c>
      <c r="F486" s="8">
        <v>1330</v>
      </c>
      <c r="G486" s="7" t="s">
        <v>27</v>
      </c>
      <c r="H486" s="7" t="s">
        <v>2409</v>
      </c>
      <c r="I486" s="7" t="s">
        <v>2410</v>
      </c>
      <c r="J486" s="8">
        <f>79250051058</f>
      </c>
      <c r="K486" s="9"/>
      <c r="L486" s="7" t="s">
        <v>54</v>
      </c>
      <c r="M486" s="8">
        <v>188</v>
      </c>
      <c r="N486" s="7" t="s">
        <v>55</v>
      </c>
      <c r="O486" s="7" t="s">
        <v>82</v>
      </c>
      <c r="P486" s="7" t="s">
        <v>268</v>
      </c>
      <c r="Q486" s="8" t="s">
        <v>58</v>
      </c>
      <c r="R486" s="7" t="s">
        <v>33</v>
      </c>
      <c r="S486" s="7" t="s">
        <v>34</v>
      </c>
      <c r="T486" s="10">
        <v>0</v>
      </c>
      <c r="U486" s="7" t="s">
        <v>35</v>
      </c>
      <c r="V486" s="10" t="s">
        <v>214</v>
      </c>
      <c r="W486" s="7" t="s">
        <v>48</v>
      </c>
      <c r="X486" s="10" t="s">
        <v>36</v>
      </c>
      <c r="Y486" s="7" t="s">
        <v>59</v>
      </c>
    </row>
    <row x14ac:dyDescent="0.25" r="487" customHeight="1" ht="18.75">
      <c r="A487" s="11">
        <v>74012019</v>
      </c>
      <c r="B487" s="12">
        <v>1332</v>
      </c>
      <c r="C487" s="13" t="s">
        <v>2411</v>
      </c>
      <c r="D487" s="13" t="s">
        <v>2412</v>
      </c>
      <c r="E487" s="14">
        <v>74012019</v>
      </c>
      <c r="F487" s="14">
        <v>1332</v>
      </c>
      <c r="G487" s="13" t="s">
        <v>27</v>
      </c>
      <c r="H487" s="13" t="s">
        <v>2413</v>
      </c>
      <c r="I487" s="13" t="s">
        <v>2414</v>
      </c>
      <c r="J487" s="14">
        <f>79218975631</f>
      </c>
      <c r="K487" s="9"/>
      <c r="L487" s="13" t="s">
        <v>54</v>
      </c>
      <c r="M487" s="14">
        <v>188</v>
      </c>
      <c r="N487" s="13" t="s">
        <v>55</v>
      </c>
      <c r="O487" s="13" t="s">
        <v>56</v>
      </c>
      <c r="P487" s="13" t="s">
        <v>57</v>
      </c>
      <c r="Q487" s="14" t="s">
        <v>58</v>
      </c>
      <c r="R487" s="13" t="s">
        <v>33</v>
      </c>
      <c r="S487" s="13" t="s">
        <v>34</v>
      </c>
      <c r="T487" s="15">
        <v>0</v>
      </c>
      <c r="U487" s="13" t="s">
        <v>48</v>
      </c>
      <c r="V487" s="15" t="s">
        <v>125</v>
      </c>
      <c r="W487" s="13" t="s">
        <v>35</v>
      </c>
      <c r="X487" s="15" t="s">
        <v>36</v>
      </c>
      <c r="Y487" s="13" t="s">
        <v>59</v>
      </c>
    </row>
    <row x14ac:dyDescent="0.25" r="488" customHeight="1" ht="18.75">
      <c r="A488" s="5">
        <v>74012022</v>
      </c>
      <c r="B488" s="6">
        <v>1333</v>
      </c>
      <c r="C488" s="7" t="s">
        <v>2415</v>
      </c>
      <c r="D488" s="7" t="s">
        <v>2416</v>
      </c>
      <c r="E488" s="8">
        <v>74012022</v>
      </c>
      <c r="F488" s="8">
        <v>1333</v>
      </c>
      <c r="G488" s="7" t="s">
        <v>27</v>
      </c>
      <c r="H488" s="7" t="s">
        <v>2417</v>
      </c>
      <c r="I488" s="7" t="s">
        <v>2418</v>
      </c>
      <c r="J488" s="8">
        <f>79218975639</f>
      </c>
      <c r="K488" s="9"/>
      <c r="L488" s="7" t="s">
        <v>54</v>
      </c>
      <c r="M488" s="8">
        <v>188</v>
      </c>
      <c r="N488" s="7" t="s">
        <v>55</v>
      </c>
      <c r="O488" s="7" t="s">
        <v>56</v>
      </c>
      <c r="P488" s="7" t="s">
        <v>57</v>
      </c>
      <c r="Q488" s="8" t="s">
        <v>58</v>
      </c>
      <c r="R488" s="7" t="s">
        <v>33</v>
      </c>
      <c r="S488" s="7" t="s">
        <v>34</v>
      </c>
      <c r="T488" s="10">
        <v>0</v>
      </c>
      <c r="U488" s="7" t="s">
        <v>48</v>
      </c>
      <c r="V488" s="10" t="s">
        <v>49</v>
      </c>
      <c r="W488" s="7" t="s">
        <v>35</v>
      </c>
      <c r="X488" s="10" t="s">
        <v>36</v>
      </c>
      <c r="Y488" s="7" t="s">
        <v>59</v>
      </c>
    </row>
    <row x14ac:dyDescent="0.25" r="489" customHeight="1" ht="18.75">
      <c r="A489" s="11">
        <v>74012107</v>
      </c>
      <c r="B489" s="12">
        <v>1334</v>
      </c>
      <c r="C489" s="13" t="s">
        <v>2419</v>
      </c>
      <c r="D489" s="13" t="s">
        <v>2420</v>
      </c>
      <c r="E489" s="14">
        <v>74012107</v>
      </c>
      <c r="F489" s="14">
        <v>1334</v>
      </c>
      <c r="G489" s="13" t="s">
        <v>27</v>
      </c>
      <c r="H489" s="13" t="s">
        <v>2421</v>
      </c>
      <c r="I489" s="13" t="s">
        <v>2422</v>
      </c>
      <c r="J489" s="14">
        <f>79218975623</f>
      </c>
      <c r="K489" s="9"/>
      <c r="L489" s="13" t="s">
        <v>54</v>
      </c>
      <c r="M489" s="14">
        <v>188</v>
      </c>
      <c r="N489" s="13" t="s">
        <v>55</v>
      </c>
      <c r="O489" s="13" t="s">
        <v>56</v>
      </c>
      <c r="P489" s="13" t="s">
        <v>57</v>
      </c>
      <c r="Q489" s="14" t="s">
        <v>58</v>
      </c>
      <c r="R489" s="13" t="s">
        <v>33</v>
      </c>
      <c r="S489" s="13" t="s">
        <v>34</v>
      </c>
      <c r="T489" s="15">
        <v>0</v>
      </c>
      <c r="U489" s="13" t="s">
        <v>35</v>
      </c>
      <c r="V489" s="15" t="s">
        <v>214</v>
      </c>
      <c r="W489" s="13" t="s">
        <v>48</v>
      </c>
      <c r="X489" s="15" t="s">
        <v>36</v>
      </c>
      <c r="Y489" s="13" t="s">
        <v>37</v>
      </c>
    </row>
    <row x14ac:dyDescent="0.25" r="490" customHeight="1" ht="18.75">
      <c r="A490" s="5">
        <v>74012184</v>
      </c>
      <c r="B490" s="6">
        <v>1339</v>
      </c>
      <c r="C490" s="7" t="s">
        <v>2423</v>
      </c>
      <c r="D490" s="7" t="s">
        <v>2424</v>
      </c>
      <c r="E490" s="8">
        <v>74012184</v>
      </c>
      <c r="F490" s="8">
        <v>1339</v>
      </c>
      <c r="G490" s="7" t="s">
        <v>27</v>
      </c>
      <c r="H490" s="7" t="s">
        <v>2425</v>
      </c>
      <c r="I490" s="7" t="s">
        <v>2426</v>
      </c>
      <c r="J490" s="8">
        <f>79218975647</f>
      </c>
      <c r="K490" s="9"/>
      <c r="L490" s="7" t="s">
        <v>54</v>
      </c>
      <c r="M490" s="8">
        <v>188</v>
      </c>
      <c r="N490" s="7" t="s">
        <v>55</v>
      </c>
      <c r="O490" s="7" t="s">
        <v>56</v>
      </c>
      <c r="P490" s="7" t="s">
        <v>57</v>
      </c>
      <c r="Q490" s="8" t="s">
        <v>58</v>
      </c>
      <c r="R490" s="7" t="s">
        <v>33</v>
      </c>
      <c r="S490" s="7" t="s">
        <v>34</v>
      </c>
      <c r="T490" s="10">
        <v>0</v>
      </c>
      <c r="U490" s="7" t="s">
        <v>35</v>
      </c>
      <c r="V490" s="10" t="s">
        <v>195</v>
      </c>
      <c r="W490" s="7" t="s">
        <v>48</v>
      </c>
      <c r="X490" s="10" t="s">
        <v>36</v>
      </c>
      <c r="Y490" s="7" t="s">
        <v>59</v>
      </c>
    </row>
    <row x14ac:dyDescent="0.25" r="491" customHeight="1" ht="18.75">
      <c r="A491" s="11">
        <v>74012185</v>
      </c>
      <c r="B491" s="12">
        <v>1340</v>
      </c>
      <c r="C491" s="13" t="s">
        <v>2427</v>
      </c>
      <c r="D491" s="13" t="s">
        <v>2428</v>
      </c>
      <c r="E491" s="14">
        <v>74012185</v>
      </c>
      <c r="F491" s="14">
        <v>1340</v>
      </c>
      <c r="G491" s="13" t="s">
        <v>27</v>
      </c>
      <c r="H491" s="13" t="s">
        <v>2429</v>
      </c>
      <c r="I491" s="13" t="s">
        <v>2430</v>
      </c>
      <c r="J491" s="14">
        <f>79218975771</f>
      </c>
      <c r="K491" s="9"/>
      <c r="L491" s="13" t="s">
        <v>54</v>
      </c>
      <c r="M491" s="14">
        <v>188</v>
      </c>
      <c r="N491" s="13" t="s">
        <v>55</v>
      </c>
      <c r="O491" s="13" t="s">
        <v>56</v>
      </c>
      <c r="P491" s="13" t="s">
        <v>57</v>
      </c>
      <c r="Q491" s="14" t="s">
        <v>58</v>
      </c>
      <c r="R491" s="13" t="s">
        <v>33</v>
      </c>
      <c r="S491" s="13" t="s">
        <v>34</v>
      </c>
      <c r="T491" s="15">
        <v>0</v>
      </c>
      <c r="U491" s="13" t="s">
        <v>48</v>
      </c>
      <c r="V491" s="15" t="s">
        <v>195</v>
      </c>
      <c r="W491" s="13" t="s">
        <v>48</v>
      </c>
      <c r="X491" s="15" t="s">
        <v>36</v>
      </c>
      <c r="Y491" s="13" t="s">
        <v>59</v>
      </c>
    </row>
    <row x14ac:dyDescent="0.25" r="492" customHeight="1" ht="18.75">
      <c r="A492" s="5">
        <v>74012833</v>
      </c>
      <c r="B492" s="6">
        <v>1341</v>
      </c>
      <c r="C492" s="7" t="s">
        <v>2431</v>
      </c>
      <c r="D492" s="7" t="s">
        <v>2432</v>
      </c>
      <c r="E492" s="8">
        <v>74012833</v>
      </c>
      <c r="F492" s="8">
        <v>1341</v>
      </c>
      <c r="G492" s="7" t="s">
        <v>27</v>
      </c>
      <c r="H492" s="7" t="s">
        <v>2433</v>
      </c>
      <c r="I492" s="7" t="s">
        <v>2434</v>
      </c>
      <c r="J492" s="8">
        <f>79218975685</f>
      </c>
      <c r="K492" s="9"/>
      <c r="L492" s="7" t="s">
        <v>54</v>
      </c>
      <c r="M492" s="8">
        <v>188</v>
      </c>
      <c r="N492" s="7" t="s">
        <v>55</v>
      </c>
      <c r="O492" s="7" t="s">
        <v>56</v>
      </c>
      <c r="P492" s="7" t="s">
        <v>57</v>
      </c>
      <c r="Q492" s="8" t="s">
        <v>58</v>
      </c>
      <c r="R492" s="7" t="s">
        <v>33</v>
      </c>
      <c r="S492" s="7" t="s">
        <v>34</v>
      </c>
      <c r="T492" s="10">
        <v>0</v>
      </c>
      <c r="U492" s="7" t="s">
        <v>35</v>
      </c>
      <c r="V492" s="10" t="s">
        <v>2435</v>
      </c>
      <c r="W492" s="7" t="s">
        <v>48</v>
      </c>
      <c r="X492" s="10" t="s">
        <v>36</v>
      </c>
      <c r="Y492" s="7" t="s">
        <v>59</v>
      </c>
    </row>
    <row x14ac:dyDescent="0.25" r="493" customHeight="1" ht="18.75">
      <c r="A493" s="11">
        <v>74012966</v>
      </c>
      <c r="B493" s="12">
        <v>1342</v>
      </c>
      <c r="C493" s="13" t="s">
        <v>2436</v>
      </c>
      <c r="D493" s="13" t="s">
        <v>2437</v>
      </c>
      <c r="E493" s="14">
        <v>74012966</v>
      </c>
      <c r="F493" s="14">
        <v>1342</v>
      </c>
      <c r="G493" s="13" t="s">
        <v>27</v>
      </c>
      <c r="H493" s="13" t="s">
        <v>2438</v>
      </c>
      <c r="I493" s="13" t="s">
        <v>2439</v>
      </c>
      <c r="J493" s="14">
        <f>79218975442</f>
      </c>
      <c r="K493" s="9"/>
      <c r="L493" s="13" t="s">
        <v>54</v>
      </c>
      <c r="M493" s="14">
        <v>188</v>
      </c>
      <c r="N493" s="13" t="s">
        <v>55</v>
      </c>
      <c r="O493" s="13" t="s">
        <v>56</v>
      </c>
      <c r="P493" s="13" t="s">
        <v>57</v>
      </c>
      <c r="Q493" s="14" t="s">
        <v>58</v>
      </c>
      <c r="R493" s="13" t="s">
        <v>33</v>
      </c>
      <c r="S493" s="13" t="s">
        <v>34</v>
      </c>
      <c r="T493" s="15">
        <v>0</v>
      </c>
      <c r="U493" s="13" t="s">
        <v>35</v>
      </c>
      <c r="V493" s="15" t="s">
        <v>195</v>
      </c>
      <c r="W493" s="13" t="s">
        <v>48</v>
      </c>
      <c r="X493" s="15" t="s">
        <v>36</v>
      </c>
      <c r="Y493" s="13" t="s">
        <v>126</v>
      </c>
    </row>
    <row x14ac:dyDescent="0.25" r="494" customHeight="1" ht="18.75">
      <c r="A494" s="5">
        <v>74013222</v>
      </c>
      <c r="B494" s="6">
        <v>1346</v>
      </c>
      <c r="C494" s="7" t="s">
        <v>2440</v>
      </c>
      <c r="D494" s="7" t="s">
        <v>2441</v>
      </c>
      <c r="E494" s="8">
        <v>74013222</v>
      </c>
      <c r="F494" s="8">
        <v>1346</v>
      </c>
      <c r="G494" s="7" t="s">
        <v>27</v>
      </c>
      <c r="H494" s="7" t="s">
        <v>2442</v>
      </c>
      <c r="I494" s="7" t="s">
        <v>2443</v>
      </c>
      <c r="J494" s="8">
        <f>79218975468</f>
      </c>
      <c r="K494" s="9"/>
      <c r="L494" s="7" t="s">
        <v>54</v>
      </c>
      <c r="M494" s="8">
        <v>188</v>
      </c>
      <c r="N494" s="7" t="s">
        <v>55</v>
      </c>
      <c r="O494" s="7" t="s">
        <v>56</v>
      </c>
      <c r="P494" s="7" t="s">
        <v>57</v>
      </c>
      <c r="Q494" s="8" t="s">
        <v>58</v>
      </c>
      <c r="R494" s="7" t="s">
        <v>33</v>
      </c>
      <c r="S494" s="7" t="s">
        <v>34</v>
      </c>
      <c r="T494" s="10">
        <v>0</v>
      </c>
      <c r="U494" s="7" t="s">
        <v>35</v>
      </c>
      <c r="V494" s="10" t="s">
        <v>125</v>
      </c>
      <c r="W494" s="7" t="s">
        <v>48</v>
      </c>
      <c r="X494" s="10" t="s">
        <v>36</v>
      </c>
      <c r="Y494" s="7" t="s">
        <v>59</v>
      </c>
    </row>
    <row x14ac:dyDescent="0.25" r="495" customHeight="1" ht="18.75">
      <c r="A495" s="11">
        <v>74020414</v>
      </c>
      <c r="B495" s="12">
        <v>1351</v>
      </c>
      <c r="C495" s="13" t="s">
        <v>2444</v>
      </c>
      <c r="D495" s="13" t="s">
        <v>2445</v>
      </c>
      <c r="E495" s="14">
        <v>74020414</v>
      </c>
      <c r="F495" s="14">
        <v>1351</v>
      </c>
      <c r="G495" s="13" t="s">
        <v>27</v>
      </c>
      <c r="H495" s="13" t="s">
        <v>2446</v>
      </c>
      <c r="I495" s="13" t="s">
        <v>2447</v>
      </c>
      <c r="J495" s="14">
        <f>74951980928</f>
      </c>
      <c r="K495" s="9"/>
      <c r="L495" s="13" t="s">
        <v>80</v>
      </c>
      <c r="M495" s="14">
        <v>100131</v>
      </c>
      <c r="N495" s="13" t="s">
        <v>2448</v>
      </c>
      <c r="O495" s="13" t="s">
        <v>32</v>
      </c>
      <c r="P495" s="13" t="s">
        <v>32</v>
      </c>
      <c r="Q495" s="14" t="s">
        <v>58</v>
      </c>
      <c r="R495" s="13" t="s">
        <v>33</v>
      </c>
      <c r="S495" s="13" t="s">
        <v>47</v>
      </c>
      <c r="T495" s="15">
        <v>1</v>
      </c>
      <c r="U495" s="13" t="s">
        <v>35</v>
      </c>
      <c r="V495" s="15" t="s">
        <v>36</v>
      </c>
      <c r="W495" s="13" t="s">
        <v>48</v>
      </c>
      <c r="X495" s="15" t="s">
        <v>895</v>
      </c>
      <c r="Y495" s="13" t="s">
        <v>59</v>
      </c>
    </row>
    <row x14ac:dyDescent="0.25" r="496" customHeight="1" ht="18.75">
      <c r="A496" s="5">
        <v>74020404</v>
      </c>
      <c r="B496" s="6">
        <v>1361</v>
      </c>
      <c r="C496" s="7" t="s">
        <v>2449</v>
      </c>
      <c r="D496" s="7" t="s">
        <v>2450</v>
      </c>
      <c r="E496" s="8">
        <v>74020404</v>
      </c>
      <c r="F496" s="8">
        <v>1361</v>
      </c>
      <c r="G496" s="7" t="s">
        <v>27</v>
      </c>
      <c r="H496" s="7" t="s">
        <v>2451</v>
      </c>
      <c r="I496" s="7" t="s">
        <v>2452</v>
      </c>
      <c r="J496" s="8">
        <f>79274578363</f>
      </c>
      <c r="K496" s="9"/>
      <c r="L496" s="7" t="s">
        <v>54</v>
      </c>
      <c r="M496" s="8">
        <v>188</v>
      </c>
      <c r="N496" s="7" t="s">
        <v>55</v>
      </c>
      <c r="O496" s="7" t="s">
        <v>44</v>
      </c>
      <c r="P496" s="7" t="s">
        <v>292</v>
      </c>
      <c r="Q496" s="8" t="s">
        <v>182</v>
      </c>
      <c r="R496" s="7" t="s">
        <v>33</v>
      </c>
      <c r="S496" s="7" t="s">
        <v>34</v>
      </c>
      <c r="T496" s="10">
        <v>0</v>
      </c>
      <c r="U496" s="7" t="s">
        <v>35</v>
      </c>
      <c r="V496" s="10" t="s">
        <v>64</v>
      </c>
      <c r="W496" s="7" t="s">
        <v>48</v>
      </c>
      <c r="X496" s="10" t="s">
        <v>65</v>
      </c>
      <c r="Y496" s="7" t="s">
        <v>59</v>
      </c>
    </row>
    <row x14ac:dyDescent="0.25" r="497" customHeight="1" ht="18.75">
      <c r="A497" s="11">
        <v>74013315</v>
      </c>
      <c r="B497" s="12">
        <v>1396</v>
      </c>
      <c r="C497" s="13" t="s">
        <v>2453</v>
      </c>
      <c r="D497" s="13" t="s">
        <v>2454</v>
      </c>
      <c r="E497" s="14">
        <v>74013315</v>
      </c>
      <c r="F497" s="14">
        <v>1396</v>
      </c>
      <c r="G497" s="13" t="s">
        <v>27</v>
      </c>
      <c r="H497" s="13" t="s">
        <v>2455</v>
      </c>
      <c r="I497" s="13" t="s">
        <v>2456</v>
      </c>
      <c r="J497" s="14">
        <f>79636300425</f>
      </c>
      <c r="K497" s="9"/>
      <c r="L497" s="13" t="s">
        <v>30</v>
      </c>
      <c r="M497" s="14">
        <v>56</v>
      </c>
      <c r="N497" s="13" t="s">
        <v>31</v>
      </c>
      <c r="O497" s="13" t="s">
        <v>32</v>
      </c>
      <c r="P497" s="13" t="s">
        <v>32</v>
      </c>
      <c r="Q497" s="14" t="s">
        <v>58</v>
      </c>
      <c r="R497" s="13" t="s">
        <v>33</v>
      </c>
      <c r="S497" s="13" t="s">
        <v>34</v>
      </c>
      <c r="T497" s="15">
        <v>0</v>
      </c>
      <c r="U497" s="13" t="s">
        <v>48</v>
      </c>
      <c r="V497" s="15" t="s">
        <v>64</v>
      </c>
      <c r="W497" s="13" t="s">
        <v>48</v>
      </c>
      <c r="X497" s="15" t="s">
        <v>36</v>
      </c>
      <c r="Y497" s="13" t="s">
        <v>37</v>
      </c>
    </row>
    <row x14ac:dyDescent="0.25" r="498" customHeight="1" ht="18.75">
      <c r="A498" s="5">
        <v>74013316</v>
      </c>
      <c r="B498" s="6">
        <v>1397</v>
      </c>
      <c r="C498" s="7" t="s">
        <v>2457</v>
      </c>
      <c r="D498" s="7" t="s">
        <v>2458</v>
      </c>
      <c r="E498" s="8">
        <v>74013316</v>
      </c>
      <c r="F498" s="8">
        <v>1397</v>
      </c>
      <c r="G498" s="7" t="s">
        <v>27</v>
      </c>
      <c r="H498" s="7" t="s">
        <v>2459</v>
      </c>
      <c r="I498" s="7" t="s">
        <v>2460</v>
      </c>
      <c r="J498" s="8">
        <f>79250038614</f>
      </c>
      <c r="K498" s="9"/>
      <c r="L498" s="7" t="s">
        <v>54</v>
      </c>
      <c r="M498" s="8">
        <v>188</v>
      </c>
      <c r="N498" s="7" t="s">
        <v>55</v>
      </c>
      <c r="O498" s="7" t="s">
        <v>32</v>
      </c>
      <c r="P498" s="7" t="s">
        <v>32</v>
      </c>
      <c r="Q498" s="8" t="s">
        <v>58</v>
      </c>
      <c r="R498" s="7" t="s">
        <v>33</v>
      </c>
      <c r="S498" s="7" t="s">
        <v>34</v>
      </c>
      <c r="T498" s="10">
        <v>0</v>
      </c>
      <c r="U498" s="7" t="s">
        <v>48</v>
      </c>
      <c r="V498" s="10" t="s">
        <v>49</v>
      </c>
      <c r="W498" s="7" t="s">
        <v>48</v>
      </c>
      <c r="X498" s="10" t="s">
        <v>36</v>
      </c>
      <c r="Y498" s="7" t="s">
        <v>59</v>
      </c>
    </row>
    <row x14ac:dyDescent="0.25" r="499" customHeight="1" ht="18.75">
      <c r="A499" s="11">
        <v>74013317</v>
      </c>
      <c r="B499" s="12">
        <v>1398</v>
      </c>
      <c r="C499" s="13" t="s">
        <v>2461</v>
      </c>
      <c r="D499" s="13" t="s">
        <v>2462</v>
      </c>
      <c r="E499" s="14">
        <v>74013317</v>
      </c>
      <c r="F499" s="14">
        <v>1398</v>
      </c>
      <c r="G499" s="13" t="s">
        <v>27</v>
      </c>
      <c r="H499" s="13" t="s">
        <v>2463</v>
      </c>
      <c r="I499" s="13" t="s">
        <v>2464</v>
      </c>
      <c r="J499" s="14">
        <f>79636304393</f>
      </c>
      <c r="K499" s="9"/>
      <c r="L499" s="13" t="s">
        <v>30</v>
      </c>
      <c r="M499" s="14">
        <v>56</v>
      </c>
      <c r="N499" s="13" t="s">
        <v>31</v>
      </c>
      <c r="O499" s="13" t="s">
        <v>32</v>
      </c>
      <c r="P499" s="13" t="s">
        <v>32</v>
      </c>
      <c r="Q499" s="14" t="s">
        <v>58</v>
      </c>
      <c r="R499" s="13" t="s">
        <v>33</v>
      </c>
      <c r="S499" s="13" t="s">
        <v>34</v>
      </c>
      <c r="T499" s="15">
        <v>0</v>
      </c>
      <c r="U499" s="13" t="s">
        <v>35</v>
      </c>
      <c r="V499" s="15" t="s">
        <v>195</v>
      </c>
      <c r="W499" s="13" t="s">
        <v>48</v>
      </c>
      <c r="X499" s="15" t="s">
        <v>36</v>
      </c>
      <c r="Y499" s="13" t="s">
        <v>59</v>
      </c>
    </row>
    <row x14ac:dyDescent="0.25" r="500" customHeight="1" ht="18.75">
      <c r="A500" s="5">
        <v>74013318</v>
      </c>
      <c r="B500" s="6">
        <v>1399</v>
      </c>
      <c r="C500" s="7" t="s">
        <v>2465</v>
      </c>
      <c r="D500" s="7" t="s">
        <v>2466</v>
      </c>
      <c r="E500" s="8">
        <v>74013318</v>
      </c>
      <c r="F500" s="8">
        <v>1399</v>
      </c>
      <c r="G500" s="7" t="s">
        <v>27</v>
      </c>
      <c r="H500" s="7" t="s">
        <v>2467</v>
      </c>
      <c r="I500" s="7" t="s">
        <v>2468</v>
      </c>
      <c r="J500" s="8">
        <f>79250054471</f>
      </c>
      <c r="K500" s="9"/>
      <c r="L500" s="7" t="s">
        <v>54</v>
      </c>
      <c r="M500" s="8">
        <v>188</v>
      </c>
      <c r="N500" s="7" t="s">
        <v>55</v>
      </c>
      <c r="O500" s="7" t="s">
        <v>32</v>
      </c>
      <c r="P500" s="7" t="s">
        <v>32</v>
      </c>
      <c r="Q500" s="8" t="s">
        <v>58</v>
      </c>
      <c r="R500" s="7" t="s">
        <v>33</v>
      </c>
      <c r="S500" s="7" t="s">
        <v>34</v>
      </c>
      <c r="T500" s="10">
        <v>0</v>
      </c>
      <c r="U500" s="7" t="s">
        <v>35</v>
      </c>
      <c r="V500" s="10" t="s">
        <v>49</v>
      </c>
      <c r="W500" s="7" t="s">
        <v>48</v>
      </c>
      <c r="X500" s="10" t="s">
        <v>36</v>
      </c>
      <c r="Y500" s="7" t="s">
        <v>37</v>
      </c>
    </row>
    <row x14ac:dyDescent="0.25" r="501" customHeight="1" ht="18.75">
      <c r="A501" s="11">
        <v>74013320</v>
      </c>
      <c r="B501" s="12">
        <v>1400</v>
      </c>
      <c r="C501" s="13" t="s">
        <v>2469</v>
      </c>
      <c r="D501" s="13" t="s">
        <v>2470</v>
      </c>
      <c r="E501" s="14">
        <v>74013320</v>
      </c>
      <c r="F501" s="14">
        <v>1400</v>
      </c>
      <c r="G501" s="13" t="s">
        <v>27</v>
      </c>
      <c r="H501" s="13" t="s">
        <v>2471</v>
      </c>
      <c r="I501" s="13" t="s">
        <v>2472</v>
      </c>
      <c r="J501" s="14">
        <f>79250038628</f>
      </c>
      <c r="K501" s="9"/>
      <c r="L501" s="13" t="s">
        <v>54</v>
      </c>
      <c r="M501" s="14">
        <v>188</v>
      </c>
      <c r="N501" s="13" t="s">
        <v>55</v>
      </c>
      <c r="O501" s="13" t="s">
        <v>82</v>
      </c>
      <c r="P501" s="13" t="s">
        <v>268</v>
      </c>
      <c r="Q501" s="14" t="s">
        <v>58</v>
      </c>
      <c r="R501" s="13" t="s">
        <v>33</v>
      </c>
      <c r="S501" s="13" t="s">
        <v>34</v>
      </c>
      <c r="T501" s="15">
        <v>0</v>
      </c>
      <c r="U501" s="13" t="s">
        <v>48</v>
      </c>
      <c r="V501" s="15" t="s">
        <v>125</v>
      </c>
      <c r="W501" s="13" t="s">
        <v>48</v>
      </c>
      <c r="X501" s="15" t="s">
        <v>36</v>
      </c>
      <c r="Y501" s="13" t="s">
        <v>59</v>
      </c>
    </row>
    <row x14ac:dyDescent="0.25" r="502" customHeight="1" ht="18.75">
      <c r="A502" s="5">
        <v>74013323</v>
      </c>
      <c r="B502" s="6">
        <v>1402</v>
      </c>
      <c r="C502" s="7" t="s">
        <v>2473</v>
      </c>
      <c r="D502" s="7" t="s">
        <v>2474</v>
      </c>
      <c r="E502" s="8">
        <v>74013323</v>
      </c>
      <c r="F502" s="8">
        <v>1402</v>
      </c>
      <c r="G502" s="7" t="s">
        <v>27</v>
      </c>
      <c r="H502" s="7" t="s">
        <v>2475</v>
      </c>
      <c r="I502" s="7" t="s">
        <v>2476</v>
      </c>
      <c r="J502" s="8">
        <f>79250050572</f>
      </c>
      <c r="K502" s="9"/>
      <c r="L502" s="7" t="s">
        <v>54</v>
      </c>
      <c r="M502" s="8">
        <v>188</v>
      </c>
      <c r="N502" s="7" t="s">
        <v>55</v>
      </c>
      <c r="O502" s="7" t="s">
        <v>32</v>
      </c>
      <c r="P502" s="7" t="s">
        <v>32</v>
      </c>
      <c r="Q502" s="8" t="s">
        <v>58</v>
      </c>
      <c r="R502" s="7" t="s">
        <v>33</v>
      </c>
      <c r="S502" s="7" t="s">
        <v>34</v>
      </c>
      <c r="T502" s="10">
        <v>0</v>
      </c>
      <c r="U502" s="7" t="s">
        <v>35</v>
      </c>
      <c r="V502" s="10" t="s">
        <v>2477</v>
      </c>
      <c r="W502" s="7" t="s">
        <v>48</v>
      </c>
      <c r="X502" s="10" t="s">
        <v>36</v>
      </c>
      <c r="Y502" s="7" t="s">
        <v>37</v>
      </c>
    </row>
    <row x14ac:dyDescent="0.25" r="503" customHeight="1" ht="18.75">
      <c r="A503" s="11">
        <v>74013324</v>
      </c>
      <c r="B503" s="12">
        <v>1403</v>
      </c>
      <c r="C503" s="13" t="s">
        <v>2478</v>
      </c>
      <c r="D503" s="13" t="s">
        <v>2479</v>
      </c>
      <c r="E503" s="14">
        <v>74013324</v>
      </c>
      <c r="F503" s="14">
        <v>1403</v>
      </c>
      <c r="G503" s="13" t="s">
        <v>27</v>
      </c>
      <c r="H503" s="13" t="s">
        <v>2480</v>
      </c>
      <c r="I503" s="13" t="s">
        <v>2481</v>
      </c>
      <c r="J503" s="14">
        <f>79250038501</f>
      </c>
      <c r="K503" s="9"/>
      <c r="L503" s="13" t="s">
        <v>54</v>
      </c>
      <c r="M503" s="14">
        <v>188</v>
      </c>
      <c r="N503" s="13" t="s">
        <v>55</v>
      </c>
      <c r="O503" s="13" t="s">
        <v>82</v>
      </c>
      <c r="P503" s="13" t="s">
        <v>1178</v>
      </c>
      <c r="Q503" s="14" t="s">
        <v>58</v>
      </c>
      <c r="R503" s="13" t="s">
        <v>33</v>
      </c>
      <c r="S503" s="13" t="s">
        <v>34</v>
      </c>
      <c r="T503" s="15">
        <v>0</v>
      </c>
      <c r="U503" s="13" t="s">
        <v>48</v>
      </c>
      <c r="V503" s="15" t="s">
        <v>125</v>
      </c>
      <c r="W503" s="13" t="s">
        <v>48</v>
      </c>
      <c r="X503" s="15" t="s">
        <v>36</v>
      </c>
      <c r="Y503" s="13" t="s">
        <v>37</v>
      </c>
    </row>
    <row x14ac:dyDescent="0.25" r="504" customHeight="1" ht="18.75">
      <c r="A504" s="5">
        <v>74013325</v>
      </c>
      <c r="B504" s="6">
        <v>1404</v>
      </c>
      <c r="C504" s="7" t="s">
        <v>2482</v>
      </c>
      <c r="D504" s="7" t="s">
        <v>2483</v>
      </c>
      <c r="E504" s="8">
        <v>74013325</v>
      </c>
      <c r="F504" s="8">
        <v>1404</v>
      </c>
      <c r="G504" s="7" t="s">
        <v>27</v>
      </c>
      <c r="H504" s="7" t="s">
        <v>2484</v>
      </c>
      <c r="I504" s="7" t="s">
        <v>2485</v>
      </c>
      <c r="J504" s="8">
        <f>79250754053</f>
      </c>
      <c r="K504" s="9"/>
      <c r="L504" s="7" t="s">
        <v>54</v>
      </c>
      <c r="M504" s="8">
        <v>188</v>
      </c>
      <c r="N504" s="7" t="s">
        <v>55</v>
      </c>
      <c r="O504" s="7" t="s">
        <v>82</v>
      </c>
      <c r="P504" s="7" t="s">
        <v>2486</v>
      </c>
      <c r="Q504" s="8" t="s">
        <v>58</v>
      </c>
      <c r="R504" s="7" t="s">
        <v>33</v>
      </c>
      <c r="S504" s="7" t="s">
        <v>34</v>
      </c>
      <c r="T504" s="10">
        <v>0</v>
      </c>
      <c r="U504" s="7" t="s">
        <v>48</v>
      </c>
      <c r="V504" s="10" t="s">
        <v>125</v>
      </c>
      <c r="W504" s="7" t="s">
        <v>48</v>
      </c>
      <c r="X504" s="10" t="s">
        <v>36</v>
      </c>
      <c r="Y504" s="7" t="s">
        <v>59</v>
      </c>
    </row>
    <row x14ac:dyDescent="0.25" r="505" customHeight="1" ht="18.75">
      <c r="A505" s="11">
        <v>74013336</v>
      </c>
      <c r="B505" s="12">
        <v>1412</v>
      </c>
      <c r="C505" s="13" t="s">
        <v>2487</v>
      </c>
      <c r="D505" s="13" t="s">
        <v>2488</v>
      </c>
      <c r="E505" s="14">
        <v>74013336</v>
      </c>
      <c r="F505" s="14">
        <v>1412</v>
      </c>
      <c r="G505" s="13" t="s">
        <v>27</v>
      </c>
      <c r="H505" s="13" t="s">
        <v>2489</v>
      </c>
      <c r="I505" s="13" t="s">
        <v>2490</v>
      </c>
      <c r="J505" s="14">
        <f>79109150036</f>
      </c>
      <c r="K505" s="9"/>
      <c r="L505" s="13" t="s">
        <v>230</v>
      </c>
      <c r="M505" s="14">
        <v>222</v>
      </c>
      <c r="N505" s="13" t="s">
        <v>2491</v>
      </c>
      <c r="O505" s="13" t="s">
        <v>232</v>
      </c>
      <c r="P505" s="13" t="s">
        <v>233</v>
      </c>
      <c r="Q505" s="14" t="s">
        <v>2492</v>
      </c>
      <c r="R505" s="13" t="s">
        <v>33</v>
      </c>
      <c r="S505" s="13" t="s">
        <v>34</v>
      </c>
      <c r="T505" s="15">
        <v>0</v>
      </c>
      <c r="U505" s="13" t="s">
        <v>35</v>
      </c>
      <c r="V505" s="15" t="s">
        <v>49</v>
      </c>
      <c r="W505" s="13" t="s">
        <v>48</v>
      </c>
      <c r="X505" s="15" t="s">
        <v>36</v>
      </c>
      <c r="Y505" s="13" t="s">
        <v>37</v>
      </c>
    </row>
    <row x14ac:dyDescent="0.25" r="506" customHeight="1" ht="18.75">
      <c r="A506" s="5">
        <v>74013406</v>
      </c>
      <c r="B506" s="6">
        <v>1426</v>
      </c>
      <c r="C506" s="7" t="s">
        <v>2493</v>
      </c>
      <c r="D506" s="7" t="s">
        <v>2494</v>
      </c>
      <c r="E506" s="8">
        <v>74013406</v>
      </c>
      <c r="F506" s="8">
        <v>1426</v>
      </c>
      <c r="G506" s="7" t="s">
        <v>27</v>
      </c>
      <c r="H506" s="7" t="s">
        <v>2495</v>
      </c>
      <c r="I506" s="7" t="s">
        <v>2496</v>
      </c>
      <c r="J506" s="8">
        <f>79218975589</f>
      </c>
      <c r="K506" s="9"/>
      <c r="L506" s="7" t="s">
        <v>54</v>
      </c>
      <c r="M506" s="8">
        <v>188</v>
      </c>
      <c r="N506" s="7" t="s">
        <v>55</v>
      </c>
      <c r="O506" s="7" t="s">
        <v>56</v>
      </c>
      <c r="P506" s="7" t="s">
        <v>57</v>
      </c>
      <c r="Q506" s="8" t="s">
        <v>58</v>
      </c>
      <c r="R506" s="7" t="s">
        <v>33</v>
      </c>
      <c r="S506" s="7" t="s">
        <v>34</v>
      </c>
      <c r="T506" s="10">
        <v>0</v>
      </c>
      <c r="U506" s="7" t="s">
        <v>35</v>
      </c>
      <c r="V506" s="10" t="s">
        <v>195</v>
      </c>
      <c r="W506" s="7" t="s">
        <v>48</v>
      </c>
      <c r="X506" s="10" t="s">
        <v>36</v>
      </c>
      <c r="Y506" s="7" t="s">
        <v>59</v>
      </c>
    </row>
    <row x14ac:dyDescent="0.25" r="507" customHeight="1" ht="18.75">
      <c r="A507" s="11">
        <v>74013410</v>
      </c>
      <c r="B507" s="12">
        <v>1427</v>
      </c>
      <c r="C507" s="13" t="s">
        <v>2497</v>
      </c>
      <c r="D507" s="13" t="s">
        <v>2498</v>
      </c>
      <c r="E507" s="14">
        <v>74013410</v>
      </c>
      <c r="F507" s="14">
        <v>1427</v>
      </c>
      <c r="G507" s="13" t="s">
        <v>27</v>
      </c>
      <c r="H507" s="13" t="s">
        <v>2499</v>
      </c>
      <c r="I507" s="13" t="s">
        <v>2500</v>
      </c>
      <c r="J507" s="14">
        <f>79250038615</f>
      </c>
      <c r="K507" s="9"/>
      <c r="L507" s="13" t="s">
        <v>54</v>
      </c>
      <c r="M507" s="14">
        <v>188</v>
      </c>
      <c r="N507" s="13" t="s">
        <v>55</v>
      </c>
      <c r="O507" s="13" t="s">
        <v>32</v>
      </c>
      <c r="P507" s="13" t="s">
        <v>32</v>
      </c>
      <c r="Q507" s="14" t="s">
        <v>58</v>
      </c>
      <c r="R507" s="13" t="s">
        <v>33</v>
      </c>
      <c r="S507" s="13" t="s">
        <v>34</v>
      </c>
      <c r="T507" s="15">
        <v>0</v>
      </c>
      <c r="U507" s="13" t="s">
        <v>35</v>
      </c>
      <c r="V507" s="15" t="s">
        <v>125</v>
      </c>
      <c r="W507" s="13" t="s">
        <v>48</v>
      </c>
      <c r="X507" s="15" t="s">
        <v>36</v>
      </c>
      <c r="Y507" s="13" t="s">
        <v>59</v>
      </c>
    </row>
    <row x14ac:dyDescent="0.25" r="508" customHeight="1" ht="18.75">
      <c r="A508" s="5">
        <v>74013411</v>
      </c>
      <c r="B508" s="6">
        <v>1428</v>
      </c>
      <c r="C508" s="7" t="s">
        <v>2501</v>
      </c>
      <c r="D508" s="7" t="s">
        <v>2502</v>
      </c>
      <c r="E508" s="8">
        <v>74013411</v>
      </c>
      <c r="F508" s="8">
        <v>1428</v>
      </c>
      <c r="G508" s="7" t="s">
        <v>27</v>
      </c>
      <c r="H508" s="7" t="s">
        <v>2503</v>
      </c>
      <c r="I508" s="7" t="s">
        <v>2504</v>
      </c>
      <c r="J508" s="8">
        <f>79250038613</f>
      </c>
      <c r="K508" s="9"/>
      <c r="L508" s="7" t="s">
        <v>54</v>
      </c>
      <c r="M508" s="8">
        <v>188</v>
      </c>
      <c r="N508" s="7" t="s">
        <v>55</v>
      </c>
      <c r="O508" s="7" t="s">
        <v>32</v>
      </c>
      <c r="P508" s="7" t="s">
        <v>32</v>
      </c>
      <c r="Q508" s="8" t="s">
        <v>58</v>
      </c>
      <c r="R508" s="7" t="s">
        <v>33</v>
      </c>
      <c r="S508" s="7" t="s">
        <v>34</v>
      </c>
      <c r="T508" s="10">
        <v>0</v>
      </c>
      <c r="U508" s="7" t="s">
        <v>48</v>
      </c>
      <c r="V508" s="10" t="s">
        <v>125</v>
      </c>
      <c r="W508" s="7" t="s">
        <v>48</v>
      </c>
      <c r="X508" s="10" t="s">
        <v>36</v>
      </c>
      <c r="Y508" s="7" t="s">
        <v>59</v>
      </c>
    </row>
    <row x14ac:dyDescent="0.25" r="509" customHeight="1" ht="18.75">
      <c r="A509" s="11">
        <v>74013412</v>
      </c>
      <c r="B509" s="12">
        <v>1429</v>
      </c>
      <c r="C509" s="13" t="s">
        <v>2505</v>
      </c>
      <c r="D509" s="13" t="s">
        <v>2506</v>
      </c>
      <c r="E509" s="14">
        <v>74013412</v>
      </c>
      <c r="F509" s="14">
        <v>1429</v>
      </c>
      <c r="G509" s="13" t="s">
        <v>27</v>
      </c>
      <c r="H509" s="13" t="s">
        <v>2507</v>
      </c>
      <c r="I509" s="13" t="s">
        <v>2508</v>
      </c>
      <c r="J509" s="14">
        <f>79255421832</f>
      </c>
      <c r="K509" s="9"/>
      <c r="L509" s="13" t="s">
        <v>1229</v>
      </c>
      <c r="M509" s="14">
        <v>100300</v>
      </c>
      <c r="N509" s="13" t="s">
        <v>2509</v>
      </c>
      <c r="O509" s="13" t="s">
        <v>82</v>
      </c>
      <c r="P509" s="13" t="s">
        <v>82</v>
      </c>
      <c r="Q509" s="14" t="s">
        <v>2506</v>
      </c>
      <c r="R509" s="13" t="s">
        <v>33</v>
      </c>
      <c r="S509" s="13" t="s">
        <v>34</v>
      </c>
      <c r="T509" s="15">
        <v>0</v>
      </c>
      <c r="U509" s="13" t="s">
        <v>35</v>
      </c>
      <c r="V509" s="15" t="s">
        <v>49</v>
      </c>
      <c r="W509" s="13" t="s">
        <v>48</v>
      </c>
      <c r="X509" s="15" t="s">
        <v>36</v>
      </c>
      <c r="Y509" s="13" t="s">
        <v>37</v>
      </c>
    </row>
    <row x14ac:dyDescent="0.25" r="510" customHeight="1" ht="18.75">
      <c r="A510" s="5">
        <v>74013415</v>
      </c>
      <c r="B510" s="6">
        <v>1431</v>
      </c>
      <c r="C510" s="7" t="s">
        <v>2510</v>
      </c>
      <c r="D510" s="7" t="s">
        <v>2511</v>
      </c>
      <c r="E510" s="8">
        <v>74013415</v>
      </c>
      <c r="F510" s="8">
        <v>1431</v>
      </c>
      <c r="G510" s="7" t="s">
        <v>27</v>
      </c>
      <c r="H510" s="7" t="s">
        <v>2512</v>
      </c>
      <c r="I510" s="7" t="s">
        <v>2513</v>
      </c>
      <c r="J510" s="8">
        <f>79250038620</f>
      </c>
      <c r="K510" s="9"/>
      <c r="L510" s="7" t="s">
        <v>54</v>
      </c>
      <c r="M510" s="8">
        <v>188</v>
      </c>
      <c r="N510" s="7" t="s">
        <v>55</v>
      </c>
      <c r="O510" s="7" t="s">
        <v>82</v>
      </c>
      <c r="P510" s="7" t="s">
        <v>2486</v>
      </c>
      <c r="Q510" s="8" t="s">
        <v>58</v>
      </c>
      <c r="R510" s="7" t="s">
        <v>33</v>
      </c>
      <c r="S510" s="7" t="s">
        <v>34</v>
      </c>
      <c r="T510" s="10">
        <v>0</v>
      </c>
      <c r="U510" s="7" t="s">
        <v>35</v>
      </c>
      <c r="V510" s="10" t="s">
        <v>125</v>
      </c>
      <c r="W510" s="7" t="s">
        <v>48</v>
      </c>
      <c r="X510" s="10" t="s">
        <v>36</v>
      </c>
      <c r="Y510" s="7" t="s">
        <v>59</v>
      </c>
    </row>
    <row x14ac:dyDescent="0.25" r="511" customHeight="1" ht="18.75">
      <c r="A511" s="11">
        <v>74020424</v>
      </c>
      <c r="B511" s="12">
        <v>1444</v>
      </c>
      <c r="C511" s="13" t="s">
        <v>2514</v>
      </c>
      <c r="D511" s="13" t="s">
        <v>2515</v>
      </c>
      <c r="E511" s="14">
        <v>74020424</v>
      </c>
      <c r="F511" s="14">
        <v>1444</v>
      </c>
      <c r="G511" s="13" t="s">
        <v>27</v>
      </c>
      <c r="H511" s="13" t="s">
        <v>2516</v>
      </c>
      <c r="I511" s="13" t="s">
        <v>2517</v>
      </c>
      <c r="J511" s="14">
        <f>79636300402</f>
      </c>
      <c r="K511" s="9"/>
      <c r="L511" s="13" t="s">
        <v>30</v>
      </c>
      <c r="M511" s="14">
        <v>56</v>
      </c>
      <c r="N511" s="13" t="s">
        <v>31</v>
      </c>
      <c r="O511" s="13" t="s">
        <v>32</v>
      </c>
      <c r="P511" s="13" t="s">
        <v>32</v>
      </c>
      <c r="Q511" s="14" t="s">
        <v>2518</v>
      </c>
      <c r="R511" s="13" t="s">
        <v>33</v>
      </c>
      <c r="S511" s="13" t="s">
        <v>34</v>
      </c>
      <c r="T511" s="15">
        <v>0</v>
      </c>
      <c r="U511" s="13" t="s">
        <v>35</v>
      </c>
      <c r="V511" s="15" t="s">
        <v>64</v>
      </c>
      <c r="W511" s="13" t="s">
        <v>48</v>
      </c>
      <c r="X511" s="15" t="s">
        <v>65</v>
      </c>
      <c r="Y511" s="13" t="s">
        <v>37</v>
      </c>
    </row>
    <row x14ac:dyDescent="0.25" r="512" customHeight="1" ht="18.75">
      <c r="A512" s="5">
        <v>74013755</v>
      </c>
      <c r="B512" s="6">
        <v>1445</v>
      </c>
      <c r="C512" s="7" t="s">
        <v>2519</v>
      </c>
      <c r="D512" s="7" t="s">
        <v>2520</v>
      </c>
      <c r="E512" s="8">
        <v>74013755</v>
      </c>
      <c r="F512" s="8">
        <v>1445</v>
      </c>
      <c r="G512" s="7" t="s">
        <v>27</v>
      </c>
      <c r="H512" s="7" t="s">
        <v>2521</v>
      </c>
      <c r="I512" s="7" t="s">
        <v>2522</v>
      </c>
      <c r="J512" s="8">
        <f>79218976501</f>
      </c>
      <c r="K512" s="9"/>
      <c r="L512" s="7" t="s">
        <v>54</v>
      </c>
      <c r="M512" s="8">
        <v>188</v>
      </c>
      <c r="N512" s="7" t="s">
        <v>55</v>
      </c>
      <c r="O512" s="7" t="s">
        <v>56</v>
      </c>
      <c r="P512" s="7" t="s">
        <v>57</v>
      </c>
      <c r="Q512" s="8" t="s">
        <v>58</v>
      </c>
      <c r="R512" s="7" t="s">
        <v>33</v>
      </c>
      <c r="S512" s="7" t="s">
        <v>34</v>
      </c>
      <c r="T512" s="10">
        <v>0</v>
      </c>
      <c r="U512" s="7" t="s">
        <v>35</v>
      </c>
      <c r="V512" s="10" t="s">
        <v>195</v>
      </c>
      <c r="W512" s="7" t="s">
        <v>48</v>
      </c>
      <c r="X512" s="10" t="s">
        <v>36</v>
      </c>
      <c r="Y512" s="7" t="s">
        <v>59</v>
      </c>
    </row>
    <row x14ac:dyDescent="0.25" r="513" customHeight="1" ht="18.75">
      <c r="A513" s="11">
        <v>74013948</v>
      </c>
      <c r="B513" s="12">
        <v>1450</v>
      </c>
      <c r="C513" s="13" t="s">
        <v>2523</v>
      </c>
      <c r="D513" s="13" t="s">
        <v>2524</v>
      </c>
      <c r="E513" s="14">
        <v>74013948</v>
      </c>
      <c r="F513" s="14">
        <v>1450</v>
      </c>
      <c r="G513" s="13" t="s">
        <v>27</v>
      </c>
      <c r="H513" s="13" t="s">
        <v>2525</v>
      </c>
      <c r="I513" s="13" t="s">
        <v>2526</v>
      </c>
      <c r="J513" s="14">
        <f>79310080043</f>
      </c>
      <c r="K513" s="9"/>
      <c r="L513" s="13" t="s">
        <v>54</v>
      </c>
      <c r="M513" s="14">
        <v>188</v>
      </c>
      <c r="N513" s="13" t="s">
        <v>55</v>
      </c>
      <c r="O513" s="13" t="s">
        <v>56</v>
      </c>
      <c r="P513" s="13" t="s">
        <v>57</v>
      </c>
      <c r="Q513" s="14" t="s">
        <v>58</v>
      </c>
      <c r="R513" s="13" t="s">
        <v>33</v>
      </c>
      <c r="S513" s="13" t="s">
        <v>34</v>
      </c>
      <c r="T513" s="15">
        <v>0</v>
      </c>
      <c r="U513" s="13" t="s">
        <v>48</v>
      </c>
      <c r="V513" s="15" t="s">
        <v>125</v>
      </c>
      <c r="W513" s="13" t="s">
        <v>48</v>
      </c>
      <c r="X513" s="15" t="s">
        <v>36</v>
      </c>
      <c r="Y513" s="13" t="s">
        <v>59</v>
      </c>
    </row>
    <row x14ac:dyDescent="0.25" r="514" customHeight="1" ht="18.75">
      <c r="A514" s="5">
        <v>74015252</v>
      </c>
      <c r="B514" s="6">
        <v>1451</v>
      </c>
      <c r="C514" s="7" t="s">
        <v>2527</v>
      </c>
      <c r="D514" s="7" t="s">
        <v>2528</v>
      </c>
      <c r="E514" s="8">
        <v>74015252</v>
      </c>
      <c r="F514" s="8">
        <v>1451</v>
      </c>
      <c r="G514" s="7" t="s">
        <v>27</v>
      </c>
      <c r="H514" s="7" t="s">
        <v>2529</v>
      </c>
      <c r="I514" s="7" t="s">
        <v>2530</v>
      </c>
      <c r="J514" s="8">
        <f>73412912981</f>
      </c>
      <c r="K514" s="9"/>
      <c r="L514" s="7" t="s">
        <v>42</v>
      </c>
      <c r="M514" s="8">
        <v>132</v>
      </c>
      <c r="N514" s="7" t="s">
        <v>820</v>
      </c>
      <c r="O514" s="7" t="s">
        <v>44</v>
      </c>
      <c r="P514" s="7" t="s">
        <v>45</v>
      </c>
      <c r="Q514" s="8" t="s">
        <v>2531</v>
      </c>
      <c r="R514" s="7" t="s">
        <v>33</v>
      </c>
      <c r="S514" s="7" t="s">
        <v>34</v>
      </c>
      <c r="T514" s="10">
        <v>0</v>
      </c>
      <c r="U514" s="7" t="s">
        <v>35</v>
      </c>
      <c r="V514" s="10" t="s">
        <v>2477</v>
      </c>
      <c r="W514" s="7" t="s">
        <v>48</v>
      </c>
      <c r="X514" s="10" t="s">
        <v>36</v>
      </c>
      <c r="Y514" s="7" t="s">
        <v>37</v>
      </c>
    </row>
    <row x14ac:dyDescent="0.25" r="515" customHeight="1" ht="18.75">
      <c r="A515" s="11">
        <v>74014085</v>
      </c>
      <c r="B515" s="12">
        <v>1455</v>
      </c>
      <c r="C515" s="13" t="s">
        <v>2532</v>
      </c>
      <c r="D515" s="13" t="s">
        <v>2533</v>
      </c>
      <c r="E515" s="14">
        <v>74014085</v>
      </c>
      <c r="F515" s="14">
        <v>1455</v>
      </c>
      <c r="G515" s="13" t="s">
        <v>27</v>
      </c>
      <c r="H515" s="13" t="s">
        <v>2534</v>
      </c>
      <c r="I515" s="13" t="s">
        <v>2535</v>
      </c>
      <c r="J515" s="13" t="s">
        <v>467</v>
      </c>
      <c r="K515" s="9"/>
      <c r="L515" s="13" t="s">
        <v>388</v>
      </c>
      <c r="M515" s="14">
        <v>245</v>
      </c>
      <c r="N515" s="13" t="s">
        <v>389</v>
      </c>
      <c r="O515" s="13" t="s">
        <v>32</v>
      </c>
      <c r="P515" s="13" t="s">
        <v>32</v>
      </c>
      <c r="Q515" s="14" t="s">
        <v>2536</v>
      </c>
      <c r="R515" s="13" t="s">
        <v>33</v>
      </c>
      <c r="S515" s="13" t="s">
        <v>34</v>
      </c>
      <c r="T515" s="15">
        <v>0</v>
      </c>
      <c r="U515" s="13" t="s">
        <v>48</v>
      </c>
      <c r="V515" s="15" t="s">
        <v>214</v>
      </c>
      <c r="W515" s="13" t="s">
        <v>48</v>
      </c>
      <c r="X515" s="15" t="s">
        <v>36</v>
      </c>
      <c r="Y515" s="13" t="s">
        <v>59</v>
      </c>
    </row>
    <row x14ac:dyDescent="0.25" r="516" customHeight="1" ht="18.75">
      <c r="A516" s="5">
        <v>74014122</v>
      </c>
      <c r="B516" s="6">
        <v>1458</v>
      </c>
      <c r="C516" s="7" t="s">
        <v>2537</v>
      </c>
      <c r="D516" s="7" t="s">
        <v>2538</v>
      </c>
      <c r="E516" s="8">
        <v>74014122</v>
      </c>
      <c r="F516" s="8">
        <v>1458</v>
      </c>
      <c r="G516" s="7" t="s">
        <v>27</v>
      </c>
      <c r="H516" s="7" t="s">
        <v>2539</v>
      </c>
      <c r="I516" s="7" t="s">
        <v>2540</v>
      </c>
      <c r="J516" s="8">
        <f>79250038369</f>
      </c>
      <c r="K516" s="9"/>
      <c r="L516" s="7" t="s">
        <v>54</v>
      </c>
      <c r="M516" s="8">
        <v>188</v>
      </c>
      <c r="N516" s="7" t="s">
        <v>55</v>
      </c>
      <c r="O516" s="7" t="s">
        <v>82</v>
      </c>
      <c r="P516" s="7" t="s">
        <v>2486</v>
      </c>
      <c r="Q516" s="8" t="s">
        <v>58</v>
      </c>
      <c r="R516" s="7" t="s">
        <v>33</v>
      </c>
      <c r="S516" s="7" t="s">
        <v>34</v>
      </c>
      <c r="T516" s="10">
        <v>0</v>
      </c>
      <c r="U516" s="7" t="s">
        <v>48</v>
      </c>
      <c r="V516" s="10" t="s">
        <v>125</v>
      </c>
      <c r="W516" s="7" t="s">
        <v>48</v>
      </c>
      <c r="X516" s="10" t="s">
        <v>36</v>
      </c>
      <c r="Y516" s="7" t="s">
        <v>59</v>
      </c>
    </row>
    <row x14ac:dyDescent="0.25" r="517" customHeight="1" ht="18.75">
      <c r="A517" s="11">
        <v>74014457</v>
      </c>
      <c r="B517" s="12">
        <v>1470</v>
      </c>
      <c r="C517" s="13" t="s">
        <v>2541</v>
      </c>
      <c r="D517" s="13" t="s">
        <v>2542</v>
      </c>
      <c r="E517" s="14">
        <v>74014457</v>
      </c>
      <c r="F517" s="14">
        <v>1470</v>
      </c>
      <c r="G517" s="13" t="s">
        <v>27</v>
      </c>
      <c r="H517" s="13" t="s">
        <v>2543</v>
      </c>
      <c r="I517" s="13" t="s">
        <v>2544</v>
      </c>
      <c r="J517" s="14">
        <f>79034060945</f>
      </c>
      <c r="K517" s="9"/>
      <c r="L517" s="13" t="s">
        <v>117</v>
      </c>
      <c r="M517" s="14">
        <v>210</v>
      </c>
      <c r="N517" s="13" t="s">
        <v>118</v>
      </c>
      <c r="O517" s="13" t="s">
        <v>119</v>
      </c>
      <c r="P517" s="13" t="s">
        <v>2545</v>
      </c>
      <c r="Q517" s="14" t="s">
        <v>58</v>
      </c>
      <c r="R517" s="13" t="s">
        <v>33</v>
      </c>
      <c r="S517" s="13" t="s">
        <v>34</v>
      </c>
      <c r="T517" s="15">
        <v>0</v>
      </c>
      <c r="U517" s="13" t="s">
        <v>48</v>
      </c>
      <c r="V517" s="15" t="s">
        <v>64</v>
      </c>
      <c r="W517" s="13" t="s">
        <v>35</v>
      </c>
      <c r="X517" s="15" t="s">
        <v>895</v>
      </c>
      <c r="Y517" s="13" t="s">
        <v>59</v>
      </c>
    </row>
    <row x14ac:dyDescent="0.25" r="518" customHeight="1" ht="18.75">
      <c r="A518" s="5">
        <v>74014706</v>
      </c>
      <c r="B518" s="6">
        <v>1478</v>
      </c>
      <c r="C518" s="7" t="s">
        <v>2546</v>
      </c>
      <c r="D518" s="7" t="s">
        <v>2547</v>
      </c>
      <c r="E518" s="8">
        <v>74014706</v>
      </c>
      <c r="F518" s="8">
        <v>1478</v>
      </c>
      <c r="G518" s="7" t="s">
        <v>27</v>
      </c>
      <c r="H518" s="7" t="s">
        <v>2548</v>
      </c>
      <c r="I518" s="7" t="s">
        <v>2549</v>
      </c>
      <c r="J518" s="8">
        <f>79218975601</f>
      </c>
      <c r="K518" s="9"/>
      <c r="L518" s="7" t="s">
        <v>54</v>
      </c>
      <c r="M518" s="8">
        <v>188</v>
      </c>
      <c r="N518" s="7" t="s">
        <v>55</v>
      </c>
      <c r="O518" s="7" t="s">
        <v>56</v>
      </c>
      <c r="P518" s="7" t="s">
        <v>57</v>
      </c>
      <c r="Q518" s="8" t="s">
        <v>58</v>
      </c>
      <c r="R518" s="7" t="s">
        <v>33</v>
      </c>
      <c r="S518" s="7" t="s">
        <v>34</v>
      </c>
      <c r="T518" s="10">
        <v>0</v>
      </c>
      <c r="U518" s="7" t="s">
        <v>35</v>
      </c>
      <c r="V518" s="10" t="s">
        <v>49</v>
      </c>
      <c r="W518" s="7" t="s">
        <v>48</v>
      </c>
      <c r="X518" s="10" t="s">
        <v>36</v>
      </c>
      <c r="Y518" s="7" t="s">
        <v>37</v>
      </c>
    </row>
    <row x14ac:dyDescent="0.25" r="519" customHeight="1" ht="18.75">
      <c r="A519" s="11">
        <v>74014946</v>
      </c>
      <c r="B519" s="12">
        <v>1481</v>
      </c>
      <c r="C519" s="13" t="s">
        <v>2550</v>
      </c>
      <c r="D519" s="13" t="s">
        <v>2551</v>
      </c>
      <c r="E519" s="14">
        <v>74014946</v>
      </c>
      <c r="F519" s="14">
        <v>1481</v>
      </c>
      <c r="G519" s="13" t="s">
        <v>27</v>
      </c>
      <c r="H519" s="13" t="s">
        <v>2552</v>
      </c>
      <c r="I519" s="13" t="s">
        <v>2553</v>
      </c>
      <c r="J519" s="14">
        <f>79216490761</f>
      </c>
      <c r="K519" s="9"/>
      <c r="L519" s="13" t="s">
        <v>54</v>
      </c>
      <c r="M519" s="14">
        <v>188</v>
      </c>
      <c r="N519" s="13" t="s">
        <v>55</v>
      </c>
      <c r="O519" s="13" t="s">
        <v>56</v>
      </c>
      <c r="P519" s="13" t="s">
        <v>57</v>
      </c>
      <c r="Q519" s="14" t="s">
        <v>58</v>
      </c>
      <c r="R519" s="13" t="s">
        <v>33</v>
      </c>
      <c r="S519" s="13" t="s">
        <v>34</v>
      </c>
      <c r="T519" s="15">
        <v>0</v>
      </c>
      <c r="U519" s="13" t="s">
        <v>35</v>
      </c>
      <c r="V519" s="15" t="s">
        <v>195</v>
      </c>
      <c r="W519" s="13" t="s">
        <v>48</v>
      </c>
      <c r="X519" s="15" t="s">
        <v>36</v>
      </c>
      <c r="Y519" s="13" t="s">
        <v>126</v>
      </c>
    </row>
    <row x14ac:dyDescent="0.25" r="520" customHeight="1" ht="18.75">
      <c r="A520" s="5">
        <v>74014994</v>
      </c>
      <c r="B520" s="6">
        <v>1486</v>
      </c>
      <c r="C520" s="7" t="s">
        <v>2554</v>
      </c>
      <c r="D520" s="7" t="s">
        <v>2555</v>
      </c>
      <c r="E520" s="8">
        <v>74014994</v>
      </c>
      <c r="F520" s="8">
        <v>1486</v>
      </c>
      <c r="G520" s="7" t="s">
        <v>27</v>
      </c>
      <c r="H520" s="7" t="s">
        <v>2556</v>
      </c>
      <c r="I520" s="7" t="s">
        <v>2557</v>
      </c>
      <c r="J520" s="8">
        <f>79218975715</f>
      </c>
      <c r="K520" s="9"/>
      <c r="L520" s="7" t="s">
        <v>54</v>
      </c>
      <c r="M520" s="8">
        <v>188</v>
      </c>
      <c r="N520" s="7" t="s">
        <v>55</v>
      </c>
      <c r="O520" s="7" t="s">
        <v>56</v>
      </c>
      <c r="P520" s="7" t="s">
        <v>57</v>
      </c>
      <c r="Q520" s="8" t="s">
        <v>58</v>
      </c>
      <c r="R520" s="7" t="s">
        <v>33</v>
      </c>
      <c r="S520" s="7" t="s">
        <v>34</v>
      </c>
      <c r="T520" s="10">
        <v>0</v>
      </c>
      <c r="U520" s="7" t="s">
        <v>35</v>
      </c>
      <c r="V520" s="10" t="s">
        <v>49</v>
      </c>
      <c r="W520" s="7" t="s">
        <v>48</v>
      </c>
      <c r="X520" s="10" t="s">
        <v>36</v>
      </c>
      <c r="Y520" s="7" t="s">
        <v>59</v>
      </c>
    </row>
    <row x14ac:dyDescent="0.25" r="521" customHeight="1" ht="18.75">
      <c r="A521" s="11">
        <v>74015173</v>
      </c>
      <c r="B521" s="12">
        <v>1489</v>
      </c>
      <c r="C521" s="13" t="s">
        <v>2558</v>
      </c>
      <c r="D521" s="13" t="s">
        <v>2559</v>
      </c>
      <c r="E521" s="14">
        <v>74015173</v>
      </c>
      <c r="F521" s="14">
        <v>1489</v>
      </c>
      <c r="G521" s="13" t="s">
        <v>27</v>
      </c>
      <c r="H521" s="13" t="s">
        <v>2560</v>
      </c>
      <c r="I521" s="13" t="s">
        <v>2561</v>
      </c>
      <c r="J521" s="14">
        <f>73472262444</f>
      </c>
      <c r="K521" s="14">
        <v>1002</v>
      </c>
      <c r="L521" s="13" t="s">
        <v>94</v>
      </c>
      <c r="M521" s="14">
        <v>259</v>
      </c>
      <c r="N521" s="13" t="s">
        <v>2562</v>
      </c>
      <c r="O521" s="13" t="s">
        <v>96</v>
      </c>
      <c r="P521" s="13" t="s">
        <v>97</v>
      </c>
      <c r="Q521" s="14" t="s">
        <v>2559</v>
      </c>
      <c r="R521" s="13" t="s">
        <v>33</v>
      </c>
      <c r="S521" s="13" t="s">
        <v>34</v>
      </c>
      <c r="T521" s="15">
        <v>0</v>
      </c>
      <c r="U521" s="13" t="s">
        <v>35</v>
      </c>
      <c r="V521" s="15" t="s">
        <v>49</v>
      </c>
      <c r="W521" s="13" t="s">
        <v>48</v>
      </c>
      <c r="X521" s="15" t="s">
        <v>36</v>
      </c>
      <c r="Y521" s="13" t="s">
        <v>37</v>
      </c>
    </row>
    <row x14ac:dyDescent="0.25" r="522" customHeight="1" ht="18.75">
      <c r="A522" s="5">
        <v>74015174</v>
      </c>
      <c r="B522" s="6">
        <v>1490</v>
      </c>
      <c r="C522" s="7" t="s">
        <v>2563</v>
      </c>
      <c r="D522" s="7" t="s">
        <v>2564</v>
      </c>
      <c r="E522" s="8">
        <v>74015174</v>
      </c>
      <c r="F522" s="8">
        <v>1490</v>
      </c>
      <c r="G522" s="7" t="s">
        <v>27</v>
      </c>
      <c r="H522" s="7" t="s">
        <v>2565</v>
      </c>
      <c r="I522" s="7" t="s">
        <v>2566</v>
      </c>
      <c r="J522" s="8">
        <f>79614670193</f>
      </c>
      <c r="K522" s="9"/>
      <c r="L522" s="7" t="s">
        <v>117</v>
      </c>
      <c r="M522" s="8">
        <v>210</v>
      </c>
      <c r="N522" s="7" t="s">
        <v>118</v>
      </c>
      <c r="O522" s="7" t="s">
        <v>119</v>
      </c>
      <c r="P522" s="7" t="s">
        <v>963</v>
      </c>
      <c r="Q522" s="8" t="s">
        <v>58</v>
      </c>
      <c r="R522" s="7" t="s">
        <v>33</v>
      </c>
      <c r="S522" s="7" t="s">
        <v>34</v>
      </c>
      <c r="T522" s="10">
        <v>0</v>
      </c>
      <c r="U522" s="7" t="s">
        <v>35</v>
      </c>
      <c r="V522" s="10" t="s">
        <v>49</v>
      </c>
      <c r="W522" s="7" t="s">
        <v>48</v>
      </c>
      <c r="X522" s="10" t="s">
        <v>36</v>
      </c>
      <c r="Y522" s="7" t="s">
        <v>37</v>
      </c>
    </row>
    <row x14ac:dyDescent="0.25" r="523" customHeight="1" ht="18.75">
      <c r="A523" s="11">
        <v>74013982</v>
      </c>
      <c r="B523" s="12">
        <v>1491</v>
      </c>
      <c r="C523" s="13" t="s">
        <v>2567</v>
      </c>
      <c r="D523" s="13" t="s">
        <v>2568</v>
      </c>
      <c r="E523" s="14">
        <v>74013982</v>
      </c>
      <c r="F523" s="14">
        <v>1491</v>
      </c>
      <c r="G523" s="13" t="s">
        <v>27</v>
      </c>
      <c r="H523" s="13" t="s">
        <v>2569</v>
      </c>
      <c r="I523" s="13" t="s">
        <v>2570</v>
      </c>
      <c r="J523" s="14">
        <f>73412908454</f>
      </c>
      <c r="K523" s="9"/>
      <c r="L523" s="13" t="s">
        <v>42</v>
      </c>
      <c r="M523" s="14">
        <v>89</v>
      </c>
      <c r="N523" s="13" t="s">
        <v>43</v>
      </c>
      <c r="O523" s="13" t="s">
        <v>44</v>
      </c>
      <c r="P523" s="13" t="s">
        <v>45</v>
      </c>
      <c r="Q523" s="14" t="s">
        <v>2571</v>
      </c>
      <c r="R523" s="13" t="s">
        <v>33</v>
      </c>
      <c r="S523" s="13" t="s">
        <v>34</v>
      </c>
      <c r="T523" s="15">
        <v>0</v>
      </c>
      <c r="U523" s="13" t="s">
        <v>35</v>
      </c>
      <c r="V523" s="15" t="s">
        <v>2477</v>
      </c>
      <c r="W523" s="13" t="s">
        <v>48</v>
      </c>
      <c r="X523" s="15" t="s">
        <v>36</v>
      </c>
      <c r="Y523" s="13" t="s">
        <v>37</v>
      </c>
    </row>
    <row x14ac:dyDescent="0.25" r="524" customHeight="1" ht="18.75">
      <c r="A524" s="5">
        <v>74015266</v>
      </c>
      <c r="B524" s="6">
        <v>1493</v>
      </c>
      <c r="C524" s="7" t="s">
        <v>2572</v>
      </c>
      <c r="D524" s="7" t="s">
        <v>2573</v>
      </c>
      <c r="E524" s="8">
        <v>74015266</v>
      </c>
      <c r="F524" s="8">
        <v>1493</v>
      </c>
      <c r="G524" s="7" t="s">
        <v>27</v>
      </c>
      <c r="H524" s="7" t="s">
        <v>2574</v>
      </c>
      <c r="I524" s="7" t="s">
        <v>2575</v>
      </c>
      <c r="J524" s="8">
        <f>79218976479</f>
      </c>
      <c r="K524" s="9"/>
      <c r="L524" s="7" t="s">
        <v>54</v>
      </c>
      <c r="M524" s="8">
        <v>188</v>
      </c>
      <c r="N524" s="7" t="s">
        <v>55</v>
      </c>
      <c r="O524" s="7" t="s">
        <v>56</v>
      </c>
      <c r="P524" s="7" t="s">
        <v>57</v>
      </c>
      <c r="Q524" s="8" t="s">
        <v>58</v>
      </c>
      <c r="R524" s="7" t="s">
        <v>33</v>
      </c>
      <c r="S524" s="7" t="s">
        <v>34</v>
      </c>
      <c r="T524" s="10">
        <v>0</v>
      </c>
      <c r="U524" s="7" t="s">
        <v>48</v>
      </c>
      <c r="V524" s="10" t="s">
        <v>125</v>
      </c>
      <c r="W524" s="7" t="s">
        <v>48</v>
      </c>
      <c r="X524" s="10" t="s">
        <v>36</v>
      </c>
      <c r="Y524" s="7" t="s">
        <v>59</v>
      </c>
    </row>
    <row x14ac:dyDescent="0.25" r="525" customHeight="1" ht="18.75">
      <c r="A525" s="11">
        <v>74015477</v>
      </c>
      <c r="B525" s="12">
        <v>1494</v>
      </c>
      <c r="C525" s="13" t="s">
        <v>2576</v>
      </c>
      <c r="D525" s="13" t="s">
        <v>2577</v>
      </c>
      <c r="E525" s="14">
        <v>74015477</v>
      </c>
      <c r="F525" s="14">
        <v>1494</v>
      </c>
      <c r="G525" s="13" t="s">
        <v>27</v>
      </c>
      <c r="H525" s="13" t="s">
        <v>2578</v>
      </c>
      <c r="I525" s="13" t="s">
        <v>2579</v>
      </c>
      <c r="J525" s="14">
        <f>74959871420</f>
      </c>
      <c r="K525" s="9"/>
      <c r="L525" s="13" t="s">
        <v>388</v>
      </c>
      <c r="M525" s="14">
        <v>88</v>
      </c>
      <c r="N525" s="13" t="s">
        <v>2580</v>
      </c>
      <c r="O525" s="13" t="s">
        <v>32</v>
      </c>
      <c r="P525" s="13" t="s">
        <v>32</v>
      </c>
      <c r="Q525" s="14" t="s">
        <v>2581</v>
      </c>
      <c r="R525" s="13" t="s">
        <v>33</v>
      </c>
      <c r="S525" s="13" t="s">
        <v>34</v>
      </c>
      <c r="T525" s="15">
        <v>0</v>
      </c>
      <c r="U525" s="13" t="s">
        <v>35</v>
      </c>
      <c r="V525" s="15" t="s">
        <v>214</v>
      </c>
      <c r="W525" s="13" t="s">
        <v>48</v>
      </c>
      <c r="X525" s="15" t="s">
        <v>36</v>
      </c>
      <c r="Y525" s="13" t="s">
        <v>59</v>
      </c>
    </row>
    <row x14ac:dyDescent="0.25" r="526" customHeight="1" ht="18.75">
      <c r="A526" s="5">
        <v>74015705</v>
      </c>
      <c r="B526" s="6">
        <v>1502</v>
      </c>
      <c r="C526" s="7" t="s">
        <v>2582</v>
      </c>
      <c r="D526" s="7" t="s">
        <v>2583</v>
      </c>
      <c r="E526" s="8">
        <v>74015705</v>
      </c>
      <c r="F526" s="8">
        <v>1502</v>
      </c>
      <c r="G526" s="7" t="s">
        <v>27</v>
      </c>
      <c r="H526" s="7" t="s">
        <v>2584</v>
      </c>
      <c r="I526" s="7" t="s">
        <v>2585</v>
      </c>
      <c r="J526" s="8">
        <f>73472262444</f>
      </c>
      <c r="K526" s="8">
        <v>1001</v>
      </c>
      <c r="L526" s="7" t="s">
        <v>94</v>
      </c>
      <c r="M526" s="8">
        <v>252</v>
      </c>
      <c r="N526" s="7" t="s">
        <v>2586</v>
      </c>
      <c r="O526" s="7" t="s">
        <v>96</v>
      </c>
      <c r="P526" s="7" t="s">
        <v>97</v>
      </c>
      <c r="Q526" s="8" t="s">
        <v>2583</v>
      </c>
      <c r="R526" s="7" t="s">
        <v>33</v>
      </c>
      <c r="S526" s="7" t="s">
        <v>34</v>
      </c>
      <c r="T526" s="10">
        <v>0</v>
      </c>
      <c r="U526" s="7" t="s">
        <v>35</v>
      </c>
      <c r="V526" s="10" t="s">
        <v>49</v>
      </c>
      <c r="W526" s="7" t="s">
        <v>48</v>
      </c>
      <c r="X526" s="10" t="s">
        <v>36</v>
      </c>
      <c r="Y526" s="7" t="s">
        <v>59</v>
      </c>
    </row>
    <row x14ac:dyDescent="0.25" r="527" customHeight="1" ht="18.75">
      <c r="A527" s="11">
        <v>74015748</v>
      </c>
      <c r="B527" s="12">
        <v>1504</v>
      </c>
      <c r="C527" s="13" t="s">
        <v>2587</v>
      </c>
      <c r="D527" s="13" t="s">
        <v>2588</v>
      </c>
      <c r="E527" s="14">
        <v>74015748</v>
      </c>
      <c r="F527" s="14">
        <v>1504</v>
      </c>
      <c r="G527" s="13" t="s">
        <v>27</v>
      </c>
      <c r="H527" s="13" t="s">
        <v>2589</v>
      </c>
      <c r="I527" s="13" t="s">
        <v>2590</v>
      </c>
      <c r="J527" s="14">
        <f>79218975448</f>
      </c>
      <c r="K527" s="9"/>
      <c r="L527" s="13" t="s">
        <v>54</v>
      </c>
      <c r="M527" s="14">
        <v>188</v>
      </c>
      <c r="N527" s="13" t="s">
        <v>55</v>
      </c>
      <c r="O527" s="13" t="s">
        <v>56</v>
      </c>
      <c r="P527" s="13" t="s">
        <v>57</v>
      </c>
      <c r="Q527" s="14" t="s">
        <v>58</v>
      </c>
      <c r="R527" s="13" t="s">
        <v>33</v>
      </c>
      <c r="S527" s="13" t="s">
        <v>34</v>
      </c>
      <c r="T527" s="15">
        <v>0</v>
      </c>
      <c r="U527" s="13" t="s">
        <v>35</v>
      </c>
      <c r="V527" s="15" t="s">
        <v>125</v>
      </c>
      <c r="W527" s="13" t="s">
        <v>48</v>
      </c>
      <c r="X527" s="15" t="s">
        <v>36</v>
      </c>
      <c r="Y527" s="13" t="s">
        <v>59</v>
      </c>
    </row>
    <row x14ac:dyDescent="0.25" r="528" customHeight="1" ht="18.75">
      <c r="A528" s="5">
        <v>74015749</v>
      </c>
      <c r="B528" s="6">
        <v>1505</v>
      </c>
      <c r="C528" s="7" t="s">
        <v>2591</v>
      </c>
      <c r="D528" s="7" t="s">
        <v>2592</v>
      </c>
      <c r="E528" s="8">
        <v>74015749</v>
      </c>
      <c r="F528" s="8">
        <v>1505</v>
      </c>
      <c r="G528" s="7" t="s">
        <v>27</v>
      </c>
      <c r="H528" s="7" t="s">
        <v>2593</v>
      </c>
      <c r="I528" s="7" t="s">
        <v>2594</v>
      </c>
      <c r="J528" s="8">
        <f>79218975652</f>
      </c>
      <c r="K528" s="9"/>
      <c r="L528" s="7" t="s">
        <v>54</v>
      </c>
      <c r="M528" s="8">
        <v>188</v>
      </c>
      <c r="N528" s="7" t="s">
        <v>55</v>
      </c>
      <c r="O528" s="7" t="s">
        <v>56</v>
      </c>
      <c r="P528" s="7" t="s">
        <v>57</v>
      </c>
      <c r="Q528" s="8" t="s">
        <v>58</v>
      </c>
      <c r="R528" s="7" t="s">
        <v>33</v>
      </c>
      <c r="S528" s="7" t="s">
        <v>34</v>
      </c>
      <c r="T528" s="10">
        <v>0</v>
      </c>
      <c r="U528" s="7" t="s">
        <v>48</v>
      </c>
      <c r="V528" s="10" t="s">
        <v>125</v>
      </c>
      <c r="W528" s="7" t="s">
        <v>48</v>
      </c>
      <c r="X528" s="10" t="s">
        <v>36</v>
      </c>
      <c r="Y528" s="7" t="s">
        <v>59</v>
      </c>
    </row>
    <row x14ac:dyDescent="0.25" r="529" customHeight="1" ht="18.75">
      <c r="A529" s="11">
        <v>74015796</v>
      </c>
      <c r="B529" s="12">
        <v>1506</v>
      </c>
      <c r="C529" s="13" t="s">
        <v>2595</v>
      </c>
      <c r="D529" s="13" t="s">
        <v>2596</v>
      </c>
      <c r="E529" s="14">
        <v>74015796</v>
      </c>
      <c r="F529" s="14">
        <v>1506</v>
      </c>
      <c r="G529" s="13" t="s">
        <v>27</v>
      </c>
      <c r="H529" s="13" t="s">
        <v>2597</v>
      </c>
      <c r="I529" s="13" t="s">
        <v>2598</v>
      </c>
      <c r="J529" s="14">
        <f>78452659931</f>
      </c>
      <c r="K529" s="9"/>
      <c r="L529" s="13" t="s">
        <v>327</v>
      </c>
      <c r="M529" s="14">
        <v>100623</v>
      </c>
      <c r="N529" s="13" t="s">
        <v>328</v>
      </c>
      <c r="O529" s="13" t="s">
        <v>44</v>
      </c>
      <c r="P529" s="13" t="s">
        <v>329</v>
      </c>
      <c r="Q529" s="14" t="s">
        <v>2599</v>
      </c>
      <c r="R529" s="13" t="s">
        <v>33</v>
      </c>
      <c r="S529" s="13" t="s">
        <v>34</v>
      </c>
      <c r="T529" s="15">
        <v>0</v>
      </c>
      <c r="U529" s="13" t="s">
        <v>35</v>
      </c>
      <c r="V529" s="15" t="s">
        <v>125</v>
      </c>
      <c r="W529" s="13" t="s">
        <v>48</v>
      </c>
      <c r="X529" s="15" t="s">
        <v>36</v>
      </c>
      <c r="Y529" s="13" t="s">
        <v>37</v>
      </c>
    </row>
    <row x14ac:dyDescent="0.25" r="530" customHeight="1" ht="18.75">
      <c r="A530" s="5">
        <v>74015983</v>
      </c>
      <c r="B530" s="6">
        <v>1512</v>
      </c>
      <c r="C530" s="7" t="s">
        <v>2600</v>
      </c>
      <c r="D530" s="7" t="s">
        <v>2601</v>
      </c>
      <c r="E530" s="8">
        <v>74015983</v>
      </c>
      <c r="F530" s="8">
        <v>1512</v>
      </c>
      <c r="G530" s="7" t="s">
        <v>27</v>
      </c>
      <c r="H530" s="7" t="s">
        <v>2602</v>
      </c>
      <c r="I530" s="7" t="s">
        <v>2603</v>
      </c>
      <c r="J530" s="8">
        <f>74965791884</f>
      </c>
      <c r="K530" s="9"/>
      <c r="L530" s="7" t="s">
        <v>1229</v>
      </c>
      <c r="M530" s="8">
        <v>223</v>
      </c>
      <c r="N530" s="7" t="s">
        <v>1230</v>
      </c>
      <c r="O530" s="7" t="s">
        <v>82</v>
      </c>
      <c r="P530" s="7" t="s">
        <v>603</v>
      </c>
      <c r="Q530" s="8" t="s">
        <v>58</v>
      </c>
      <c r="R530" s="7" t="s">
        <v>33</v>
      </c>
      <c r="S530" s="7" t="s">
        <v>34</v>
      </c>
      <c r="T530" s="10">
        <v>0</v>
      </c>
      <c r="U530" s="7" t="s">
        <v>35</v>
      </c>
      <c r="V530" s="10" t="s">
        <v>125</v>
      </c>
      <c r="W530" s="7" t="s">
        <v>48</v>
      </c>
      <c r="X530" s="10" t="s">
        <v>36</v>
      </c>
      <c r="Y530" s="7" t="s">
        <v>59</v>
      </c>
    </row>
    <row x14ac:dyDescent="0.25" r="531" customHeight="1" ht="18.75">
      <c r="A531" s="11">
        <v>74016068</v>
      </c>
      <c r="B531" s="12">
        <v>1513</v>
      </c>
      <c r="C531" s="13" t="s">
        <v>2604</v>
      </c>
      <c r="D531" s="13" t="s">
        <v>2605</v>
      </c>
      <c r="E531" s="14">
        <v>74016068</v>
      </c>
      <c r="F531" s="14">
        <v>1513</v>
      </c>
      <c r="G531" s="13" t="s">
        <v>27</v>
      </c>
      <c r="H531" s="13" t="s">
        <v>2606</v>
      </c>
      <c r="I531" s="13" t="s">
        <v>2607</v>
      </c>
      <c r="J531" s="14">
        <f>79216480720</f>
      </c>
      <c r="K531" s="9"/>
      <c r="L531" s="13" t="s">
        <v>54</v>
      </c>
      <c r="M531" s="14">
        <v>188</v>
      </c>
      <c r="N531" s="13" t="s">
        <v>55</v>
      </c>
      <c r="O531" s="13" t="s">
        <v>56</v>
      </c>
      <c r="P531" s="13" t="s">
        <v>57</v>
      </c>
      <c r="Q531" s="14" t="s">
        <v>58</v>
      </c>
      <c r="R531" s="13" t="s">
        <v>33</v>
      </c>
      <c r="S531" s="13" t="s">
        <v>34</v>
      </c>
      <c r="T531" s="15">
        <v>0</v>
      </c>
      <c r="U531" s="13" t="s">
        <v>35</v>
      </c>
      <c r="V531" s="15" t="s">
        <v>49</v>
      </c>
      <c r="W531" s="13" t="s">
        <v>48</v>
      </c>
      <c r="X531" s="15" t="s">
        <v>36</v>
      </c>
      <c r="Y531" s="13" t="s">
        <v>37</v>
      </c>
    </row>
    <row x14ac:dyDescent="0.25" r="532" customHeight="1" ht="18.75">
      <c r="A532" s="5">
        <v>74016847</v>
      </c>
      <c r="B532" s="6">
        <v>1521</v>
      </c>
      <c r="C532" s="7" t="s">
        <v>2608</v>
      </c>
      <c r="D532" s="7" t="s">
        <v>2609</v>
      </c>
      <c r="E532" s="8">
        <v>74016847</v>
      </c>
      <c r="F532" s="8">
        <v>1521</v>
      </c>
      <c r="G532" s="7" t="s">
        <v>27</v>
      </c>
      <c r="H532" s="7" t="s">
        <v>2610</v>
      </c>
      <c r="I532" s="7" t="s">
        <v>2611</v>
      </c>
      <c r="J532" s="8">
        <f>79218975850</f>
      </c>
      <c r="K532" s="9"/>
      <c r="L532" s="7" t="s">
        <v>54</v>
      </c>
      <c r="M532" s="8">
        <v>188</v>
      </c>
      <c r="N532" s="7" t="s">
        <v>55</v>
      </c>
      <c r="O532" s="7" t="s">
        <v>56</v>
      </c>
      <c r="P532" s="7" t="s">
        <v>57</v>
      </c>
      <c r="Q532" s="8" t="s">
        <v>58</v>
      </c>
      <c r="R532" s="7" t="s">
        <v>33</v>
      </c>
      <c r="S532" s="7" t="s">
        <v>34</v>
      </c>
      <c r="T532" s="10">
        <v>0</v>
      </c>
      <c r="U532" s="7" t="s">
        <v>35</v>
      </c>
      <c r="V532" s="10" t="s">
        <v>214</v>
      </c>
      <c r="W532" s="7" t="s">
        <v>48</v>
      </c>
      <c r="X532" s="10" t="s">
        <v>36</v>
      </c>
      <c r="Y532" s="7" t="s">
        <v>37</v>
      </c>
    </row>
    <row x14ac:dyDescent="0.25" r="533" customHeight="1" ht="18.75">
      <c r="A533" s="11">
        <v>74017259</v>
      </c>
      <c r="B533" s="12">
        <v>1523</v>
      </c>
      <c r="C533" s="13" t="s">
        <v>2612</v>
      </c>
      <c r="D533" s="13" t="s">
        <v>2613</v>
      </c>
      <c r="E533" s="14">
        <v>74017259</v>
      </c>
      <c r="F533" s="14">
        <v>1523</v>
      </c>
      <c r="G533" s="13" t="s">
        <v>27</v>
      </c>
      <c r="H533" s="13" t="s">
        <v>2614</v>
      </c>
      <c r="I533" s="13" t="s">
        <v>2615</v>
      </c>
      <c r="J533" s="14">
        <f>79034060937</f>
      </c>
      <c r="K533" s="9"/>
      <c r="L533" s="13" t="s">
        <v>117</v>
      </c>
      <c r="M533" s="14">
        <v>210</v>
      </c>
      <c r="N533" s="13" t="s">
        <v>118</v>
      </c>
      <c r="O533" s="13" t="s">
        <v>119</v>
      </c>
      <c r="P533" s="13" t="s">
        <v>120</v>
      </c>
      <c r="Q533" s="14" t="s">
        <v>58</v>
      </c>
      <c r="R533" s="13" t="s">
        <v>33</v>
      </c>
      <c r="S533" s="13" t="s">
        <v>34</v>
      </c>
      <c r="T533" s="15">
        <v>0</v>
      </c>
      <c r="U533" s="13" t="s">
        <v>35</v>
      </c>
      <c r="V533" s="15" t="s">
        <v>125</v>
      </c>
      <c r="W533" s="13" t="s">
        <v>48</v>
      </c>
      <c r="X533" s="15" t="s">
        <v>65</v>
      </c>
      <c r="Y533" s="13" t="s">
        <v>37</v>
      </c>
    </row>
    <row x14ac:dyDescent="0.25" r="534" customHeight="1" ht="18.75">
      <c r="A534" s="5">
        <v>74019201</v>
      </c>
      <c r="B534" s="6">
        <v>1525</v>
      </c>
      <c r="C534" s="7" t="s">
        <v>2616</v>
      </c>
      <c r="D534" s="7" t="s">
        <v>2617</v>
      </c>
      <c r="E534" s="8">
        <v>74019201</v>
      </c>
      <c r="F534" s="8">
        <v>1525</v>
      </c>
      <c r="G534" s="7" t="s">
        <v>27</v>
      </c>
      <c r="H534" s="7" t="s">
        <v>2618</v>
      </c>
      <c r="I534" s="7" t="s">
        <v>2619</v>
      </c>
      <c r="J534" s="8">
        <f>73412912943</f>
      </c>
      <c r="K534" s="9"/>
      <c r="L534" s="7" t="s">
        <v>42</v>
      </c>
      <c r="M534" s="8">
        <v>89</v>
      </c>
      <c r="N534" s="7" t="s">
        <v>43</v>
      </c>
      <c r="O534" s="7" t="s">
        <v>44</v>
      </c>
      <c r="P534" s="7" t="s">
        <v>45</v>
      </c>
      <c r="Q534" s="8" t="s">
        <v>2620</v>
      </c>
      <c r="R534" s="7" t="s">
        <v>33</v>
      </c>
      <c r="S534" s="7" t="s">
        <v>34</v>
      </c>
      <c r="T534" s="10">
        <v>0</v>
      </c>
      <c r="U534" s="7" t="s">
        <v>48</v>
      </c>
      <c r="V534" s="10" t="s">
        <v>195</v>
      </c>
      <c r="W534" s="7" t="s">
        <v>35</v>
      </c>
      <c r="X534" s="10" t="s">
        <v>36</v>
      </c>
      <c r="Y534" s="7" t="s">
        <v>59</v>
      </c>
    </row>
    <row x14ac:dyDescent="0.25" r="535" customHeight="1" ht="18.75">
      <c r="A535" s="11">
        <v>74019904</v>
      </c>
      <c r="B535" s="12">
        <v>1528</v>
      </c>
      <c r="C535" s="13" t="s">
        <v>2621</v>
      </c>
      <c r="D535" s="13" t="s">
        <v>2622</v>
      </c>
      <c r="E535" s="14">
        <v>74019904</v>
      </c>
      <c r="F535" s="14">
        <v>1528</v>
      </c>
      <c r="G535" s="13" t="s">
        <v>27</v>
      </c>
      <c r="H535" s="13" t="s">
        <v>2623</v>
      </c>
      <c r="I535" s="13" t="s">
        <v>2624</v>
      </c>
      <c r="J535" s="14">
        <f>74952867221</f>
      </c>
      <c r="K535" s="9"/>
      <c r="L535" s="13" t="s">
        <v>388</v>
      </c>
      <c r="M535" s="14">
        <v>245</v>
      </c>
      <c r="N535" s="13" t="s">
        <v>389</v>
      </c>
      <c r="O535" s="13" t="s">
        <v>32</v>
      </c>
      <c r="P535" s="13" t="s">
        <v>32</v>
      </c>
      <c r="Q535" s="14" t="s">
        <v>2625</v>
      </c>
      <c r="R535" s="13" t="s">
        <v>33</v>
      </c>
      <c r="S535" s="13" t="s">
        <v>34</v>
      </c>
      <c r="T535" s="15">
        <v>0</v>
      </c>
      <c r="U535" s="13" t="s">
        <v>35</v>
      </c>
      <c r="V535" s="15" t="s">
        <v>49</v>
      </c>
      <c r="W535" s="13" t="s">
        <v>48</v>
      </c>
      <c r="X535" s="15" t="s">
        <v>36</v>
      </c>
      <c r="Y535" s="13" t="s">
        <v>59</v>
      </c>
    </row>
    <row x14ac:dyDescent="0.25" r="536" customHeight="1" ht="18.75">
      <c r="A536" s="5">
        <v>74020322</v>
      </c>
      <c r="B536" s="6">
        <v>1529</v>
      </c>
      <c r="C536" s="7" t="s">
        <v>2626</v>
      </c>
      <c r="D536" s="7" t="s">
        <v>2627</v>
      </c>
      <c r="E536" s="8">
        <v>74020322</v>
      </c>
      <c r="F536" s="8">
        <v>1529</v>
      </c>
      <c r="G536" s="7" t="s">
        <v>27</v>
      </c>
      <c r="H536" s="7" t="s">
        <v>2628</v>
      </c>
      <c r="I536" s="7" t="s">
        <v>2629</v>
      </c>
      <c r="J536" s="8">
        <f>79312572862</f>
      </c>
      <c r="K536" s="9"/>
      <c r="L536" s="7" t="s">
        <v>54</v>
      </c>
      <c r="M536" s="8">
        <v>188</v>
      </c>
      <c r="N536" s="7" t="s">
        <v>55</v>
      </c>
      <c r="O536" s="7" t="s">
        <v>56</v>
      </c>
      <c r="P536" s="7" t="s">
        <v>57</v>
      </c>
      <c r="Q536" s="8" t="s">
        <v>2630</v>
      </c>
      <c r="R536" s="7" t="s">
        <v>33</v>
      </c>
      <c r="S536" s="7" t="s">
        <v>34</v>
      </c>
      <c r="T536" s="10">
        <v>0</v>
      </c>
      <c r="U536" s="7" t="s">
        <v>35</v>
      </c>
      <c r="V536" s="10" t="s">
        <v>214</v>
      </c>
      <c r="W536" s="7" t="s">
        <v>48</v>
      </c>
      <c r="X536" s="10" t="s">
        <v>36</v>
      </c>
      <c r="Y536" s="7" t="s">
        <v>59</v>
      </c>
    </row>
    <row x14ac:dyDescent="0.25" r="537" customHeight="1" ht="18.75">
      <c r="A537" s="11">
        <v>74020323</v>
      </c>
      <c r="B537" s="12">
        <v>1530</v>
      </c>
      <c r="C537" s="13" t="s">
        <v>2631</v>
      </c>
      <c r="D537" s="13" t="s">
        <v>2632</v>
      </c>
      <c r="E537" s="14">
        <v>74020323</v>
      </c>
      <c r="F537" s="14">
        <v>1530</v>
      </c>
      <c r="G537" s="13" t="s">
        <v>27</v>
      </c>
      <c r="H537" s="13" t="s">
        <v>2633</v>
      </c>
      <c r="I537" s="13" t="s">
        <v>2634</v>
      </c>
      <c r="J537" s="14">
        <f>78452659932</f>
      </c>
      <c r="K537" s="9"/>
      <c r="L537" s="13" t="s">
        <v>327</v>
      </c>
      <c r="M537" s="14">
        <v>100623</v>
      </c>
      <c r="N537" s="13" t="s">
        <v>328</v>
      </c>
      <c r="O537" s="13" t="s">
        <v>44</v>
      </c>
      <c r="P537" s="13" t="s">
        <v>329</v>
      </c>
      <c r="Q537" s="14" t="s">
        <v>2635</v>
      </c>
      <c r="R537" s="13" t="s">
        <v>33</v>
      </c>
      <c r="S537" s="13" t="s">
        <v>34</v>
      </c>
      <c r="T537" s="15">
        <v>0</v>
      </c>
      <c r="U537" s="13" t="s">
        <v>35</v>
      </c>
      <c r="V537" s="15" t="s">
        <v>64</v>
      </c>
      <c r="W537" s="13" t="s">
        <v>48</v>
      </c>
      <c r="X537" s="15" t="s">
        <v>36</v>
      </c>
      <c r="Y537" s="13" t="s">
        <v>59</v>
      </c>
    </row>
    <row x14ac:dyDescent="0.25" r="538" customHeight="1" ht="18.75">
      <c r="A538" s="5">
        <v>74020379</v>
      </c>
      <c r="B538" s="6">
        <v>1536</v>
      </c>
      <c r="C538" s="7" t="s">
        <v>2636</v>
      </c>
      <c r="D538" s="7" t="s">
        <v>2637</v>
      </c>
      <c r="E538" s="8">
        <v>74020379</v>
      </c>
      <c r="F538" s="8">
        <v>1536</v>
      </c>
      <c r="G538" s="7" t="s">
        <v>27</v>
      </c>
      <c r="H538" s="7" t="s">
        <v>2638</v>
      </c>
      <c r="I538" s="7" t="s">
        <v>2639</v>
      </c>
      <c r="J538" s="8">
        <f>79218975702</f>
      </c>
      <c r="K538" s="9"/>
      <c r="L538" s="7" t="s">
        <v>54</v>
      </c>
      <c r="M538" s="8">
        <v>188</v>
      </c>
      <c r="N538" s="7" t="s">
        <v>55</v>
      </c>
      <c r="O538" s="7" t="s">
        <v>56</v>
      </c>
      <c r="P538" s="7" t="s">
        <v>57</v>
      </c>
      <c r="Q538" s="8" t="s">
        <v>58</v>
      </c>
      <c r="R538" s="7" t="s">
        <v>33</v>
      </c>
      <c r="S538" s="7" t="s">
        <v>34</v>
      </c>
      <c r="T538" s="10">
        <v>1</v>
      </c>
      <c r="U538" s="7" t="s">
        <v>35</v>
      </c>
      <c r="V538" s="10" t="s">
        <v>64</v>
      </c>
      <c r="W538" s="7" t="s">
        <v>48</v>
      </c>
      <c r="X538" s="10" t="s">
        <v>36</v>
      </c>
      <c r="Y538" s="7" t="s">
        <v>59</v>
      </c>
    </row>
    <row x14ac:dyDescent="0.25" r="539" customHeight="1" ht="18.75">
      <c r="A539" s="11">
        <v>74020392</v>
      </c>
      <c r="B539" s="12">
        <v>1541</v>
      </c>
      <c r="C539" s="13" t="s">
        <v>2640</v>
      </c>
      <c r="D539" s="13" t="s">
        <v>2641</v>
      </c>
      <c r="E539" s="14">
        <v>74020392</v>
      </c>
      <c r="F539" s="14">
        <v>1541</v>
      </c>
      <c r="G539" s="13" t="s">
        <v>27</v>
      </c>
      <c r="H539" s="13" t="s">
        <v>2642</v>
      </c>
      <c r="I539" s="13" t="s">
        <v>2643</v>
      </c>
      <c r="J539" s="14">
        <f>79218975611</f>
      </c>
      <c r="K539" s="9"/>
      <c r="L539" s="13" t="s">
        <v>54</v>
      </c>
      <c r="M539" s="14">
        <v>188</v>
      </c>
      <c r="N539" s="13" t="s">
        <v>55</v>
      </c>
      <c r="O539" s="13" t="s">
        <v>56</v>
      </c>
      <c r="P539" s="13" t="s">
        <v>57</v>
      </c>
      <c r="Q539" s="14" t="s">
        <v>58</v>
      </c>
      <c r="R539" s="13" t="s">
        <v>33</v>
      </c>
      <c r="S539" s="13" t="s">
        <v>34</v>
      </c>
      <c r="T539" s="15">
        <v>0</v>
      </c>
      <c r="U539" s="13" t="s">
        <v>35</v>
      </c>
      <c r="V539" s="15" t="s">
        <v>64</v>
      </c>
      <c r="W539" s="13" t="s">
        <v>48</v>
      </c>
      <c r="X539" s="15" t="s">
        <v>36</v>
      </c>
      <c r="Y539" s="13" t="s">
        <v>59</v>
      </c>
    </row>
    <row x14ac:dyDescent="0.25" r="540" customHeight="1" ht="18.75">
      <c r="A540" s="5">
        <v>74020429</v>
      </c>
      <c r="B540" s="6">
        <v>1544</v>
      </c>
      <c r="C540" s="7" t="s">
        <v>2644</v>
      </c>
      <c r="D540" s="7" t="s">
        <v>2645</v>
      </c>
      <c r="E540" s="8">
        <v>74020429</v>
      </c>
      <c r="F540" s="8">
        <v>1544</v>
      </c>
      <c r="G540" s="7" t="s">
        <v>27</v>
      </c>
      <c r="H540" s="7" t="s">
        <v>2646</v>
      </c>
      <c r="I540" s="7" t="s">
        <v>2647</v>
      </c>
      <c r="J540" s="8">
        <f>79250049646</f>
      </c>
      <c r="K540" s="9"/>
      <c r="L540" s="7" t="s">
        <v>54</v>
      </c>
      <c r="M540" s="8">
        <v>188</v>
      </c>
      <c r="N540" s="7" t="s">
        <v>55</v>
      </c>
      <c r="O540" s="7" t="s">
        <v>82</v>
      </c>
      <c r="P540" s="7" t="s">
        <v>1178</v>
      </c>
      <c r="Q540" s="8" t="s">
        <v>58</v>
      </c>
      <c r="R540" s="7" t="s">
        <v>33</v>
      </c>
      <c r="S540" s="7" t="s">
        <v>34</v>
      </c>
      <c r="T540" s="10">
        <v>0</v>
      </c>
      <c r="U540" s="7" t="s">
        <v>48</v>
      </c>
      <c r="V540" s="10" t="s">
        <v>125</v>
      </c>
      <c r="W540" s="7" t="s">
        <v>48</v>
      </c>
      <c r="X540" s="10" t="s">
        <v>36</v>
      </c>
      <c r="Y540" s="7" t="s">
        <v>37</v>
      </c>
    </row>
    <row x14ac:dyDescent="0.25" r="541" customHeight="1" ht="18.75">
      <c r="A541" s="11">
        <v>74020415</v>
      </c>
      <c r="B541" s="12">
        <v>1545</v>
      </c>
      <c r="C541" s="13" t="s">
        <v>2648</v>
      </c>
      <c r="D541" s="13" t="s">
        <v>2649</v>
      </c>
      <c r="E541" s="14">
        <v>74020415</v>
      </c>
      <c r="F541" s="14">
        <v>1545</v>
      </c>
      <c r="G541" s="13" t="s">
        <v>27</v>
      </c>
      <c r="H541" s="13" t="s">
        <v>2650</v>
      </c>
      <c r="I541" s="13" t="s">
        <v>2651</v>
      </c>
      <c r="J541" s="14">
        <f>74951980902</f>
      </c>
      <c r="K541" s="9"/>
      <c r="L541" s="13" t="s">
        <v>80</v>
      </c>
      <c r="M541" s="14">
        <v>234</v>
      </c>
      <c r="N541" s="13" t="s">
        <v>2652</v>
      </c>
      <c r="O541" s="13" t="s">
        <v>32</v>
      </c>
      <c r="P541" s="13" t="s">
        <v>32</v>
      </c>
      <c r="Q541" s="14" t="s">
        <v>58</v>
      </c>
      <c r="R541" s="13" t="s">
        <v>33</v>
      </c>
      <c r="S541" s="13" t="s">
        <v>34</v>
      </c>
      <c r="T541" s="15">
        <v>0</v>
      </c>
      <c r="U541" s="13" t="s">
        <v>35</v>
      </c>
      <c r="V541" s="15" t="s">
        <v>64</v>
      </c>
      <c r="W541" s="13" t="s">
        <v>48</v>
      </c>
      <c r="X541" s="15" t="s">
        <v>895</v>
      </c>
      <c r="Y541" s="13" t="s">
        <v>126</v>
      </c>
    </row>
    <row x14ac:dyDescent="0.25" r="542" customHeight="1" ht="18.75">
      <c r="A542" s="5">
        <v>74020431</v>
      </c>
      <c r="B542" s="6">
        <v>1546</v>
      </c>
      <c r="C542" s="7" t="s">
        <v>2653</v>
      </c>
      <c r="D542" s="7" t="s">
        <v>2654</v>
      </c>
      <c r="E542" s="8">
        <v>74020431</v>
      </c>
      <c r="F542" s="8">
        <v>1546</v>
      </c>
      <c r="G542" s="7" t="s">
        <v>27</v>
      </c>
      <c r="H542" s="7" t="s">
        <v>2655</v>
      </c>
      <c r="I542" s="7" t="s">
        <v>2656</v>
      </c>
      <c r="J542" s="8">
        <f>79218976431</f>
      </c>
      <c r="K542" s="9"/>
      <c r="L542" s="7" t="s">
        <v>54</v>
      </c>
      <c r="M542" s="8">
        <v>188</v>
      </c>
      <c r="N542" s="7" t="s">
        <v>55</v>
      </c>
      <c r="O542" s="7" t="s">
        <v>56</v>
      </c>
      <c r="P542" s="7" t="s">
        <v>57</v>
      </c>
      <c r="Q542" s="8" t="s">
        <v>58</v>
      </c>
      <c r="R542" s="7" t="s">
        <v>33</v>
      </c>
      <c r="S542" s="7" t="s">
        <v>34</v>
      </c>
      <c r="T542" s="10">
        <v>0</v>
      </c>
      <c r="U542" s="7" t="s">
        <v>48</v>
      </c>
      <c r="V542" s="10" t="s">
        <v>49</v>
      </c>
      <c r="W542" s="7" t="s">
        <v>35</v>
      </c>
      <c r="X542" s="10" t="s">
        <v>36</v>
      </c>
      <c r="Y542" s="7" t="s">
        <v>59</v>
      </c>
    </row>
    <row x14ac:dyDescent="0.25" r="543" customHeight="1" ht="18.75">
      <c r="A543" s="11">
        <v>74020432</v>
      </c>
      <c r="B543" s="12">
        <v>1547</v>
      </c>
      <c r="C543" s="13" t="s">
        <v>2657</v>
      </c>
      <c r="D543" s="13" t="s">
        <v>2658</v>
      </c>
      <c r="E543" s="14">
        <v>74020432</v>
      </c>
      <c r="F543" s="14">
        <v>1547</v>
      </c>
      <c r="G543" s="13" t="s">
        <v>27</v>
      </c>
      <c r="H543" s="13" t="s">
        <v>2659</v>
      </c>
      <c r="I543" s="13" t="s">
        <v>2660</v>
      </c>
      <c r="J543" s="14">
        <f>79250049796</f>
      </c>
      <c r="K543" s="9"/>
      <c r="L543" s="13" t="s">
        <v>54</v>
      </c>
      <c r="M543" s="14">
        <v>188</v>
      </c>
      <c r="N543" s="13" t="s">
        <v>55</v>
      </c>
      <c r="O543" s="13" t="s">
        <v>32</v>
      </c>
      <c r="P543" s="13" t="s">
        <v>32</v>
      </c>
      <c r="Q543" s="14" t="s">
        <v>58</v>
      </c>
      <c r="R543" s="13" t="s">
        <v>33</v>
      </c>
      <c r="S543" s="13" t="s">
        <v>34</v>
      </c>
      <c r="T543" s="15">
        <v>0</v>
      </c>
      <c r="U543" s="13" t="s">
        <v>48</v>
      </c>
      <c r="V543" s="15" t="s">
        <v>49</v>
      </c>
      <c r="W543" s="13" t="s">
        <v>35</v>
      </c>
      <c r="X543" s="15" t="s">
        <v>36</v>
      </c>
      <c r="Y543" s="13" t="s">
        <v>84</v>
      </c>
    </row>
    <row x14ac:dyDescent="0.25" r="544" customHeight="1" ht="18.75">
      <c r="A544" s="5">
        <v>74020443</v>
      </c>
      <c r="B544" s="6">
        <v>1548</v>
      </c>
      <c r="C544" s="7" t="s">
        <v>2661</v>
      </c>
      <c r="D544" s="7" t="s">
        <v>2662</v>
      </c>
      <c r="E544" s="8">
        <v>74020443</v>
      </c>
      <c r="F544" s="8">
        <v>1548</v>
      </c>
      <c r="G544" s="7" t="s">
        <v>27</v>
      </c>
      <c r="H544" s="7" t="s">
        <v>2663</v>
      </c>
      <c r="I544" s="7" t="s">
        <v>2664</v>
      </c>
      <c r="J544" s="8">
        <f>79274578367</f>
      </c>
      <c r="K544" s="9"/>
      <c r="L544" s="7" t="s">
        <v>54</v>
      </c>
      <c r="M544" s="8">
        <v>188</v>
      </c>
      <c r="N544" s="7" t="s">
        <v>55</v>
      </c>
      <c r="O544" s="7" t="s">
        <v>44</v>
      </c>
      <c r="P544" s="7" t="s">
        <v>292</v>
      </c>
      <c r="Q544" s="8" t="s">
        <v>182</v>
      </c>
      <c r="R544" s="7" t="s">
        <v>33</v>
      </c>
      <c r="S544" s="7" t="s">
        <v>34</v>
      </c>
      <c r="T544" s="10">
        <v>0</v>
      </c>
      <c r="U544" s="7"/>
      <c r="V544" s="10">
        <v>0</v>
      </c>
      <c r="W544" s="7" t="s">
        <v>48</v>
      </c>
      <c r="X544" s="10" t="s">
        <v>36</v>
      </c>
      <c r="Y544" s="7" t="s">
        <v>37</v>
      </c>
    </row>
    <row x14ac:dyDescent="0.25" r="545" customHeight="1" ht="18.75">
      <c r="A545" s="11">
        <v>74020444</v>
      </c>
      <c r="B545" s="12">
        <v>1549</v>
      </c>
      <c r="C545" s="13" t="s">
        <v>2665</v>
      </c>
      <c r="D545" s="13" t="s">
        <v>2666</v>
      </c>
      <c r="E545" s="14">
        <v>74020444</v>
      </c>
      <c r="F545" s="14">
        <v>1549</v>
      </c>
      <c r="G545" s="13" t="s">
        <v>27</v>
      </c>
      <c r="H545" s="13" t="s">
        <v>2667</v>
      </c>
      <c r="I545" s="13" t="s">
        <v>2668</v>
      </c>
      <c r="J545" s="13" t="s">
        <v>467</v>
      </c>
      <c r="K545" s="9"/>
      <c r="L545" s="13" t="s">
        <v>54</v>
      </c>
      <c r="M545" s="14">
        <v>188</v>
      </c>
      <c r="N545" s="13" t="s">
        <v>55</v>
      </c>
      <c r="O545" s="13" t="s">
        <v>82</v>
      </c>
      <c r="P545" s="13" t="s">
        <v>2486</v>
      </c>
      <c r="Q545" s="14" t="s">
        <v>58</v>
      </c>
      <c r="R545" s="13" t="s">
        <v>33</v>
      </c>
      <c r="S545" s="13" t="s">
        <v>34</v>
      </c>
      <c r="T545" s="15">
        <v>0</v>
      </c>
      <c r="U545" s="13" t="s">
        <v>48</v>
      </c>
      <c r="V545" s="15" t="s">
        <v>49</v>
      </c>
      <c r="W545" s="13" t="s">
        <v>35</v>
      </c>
      <c r="X545" s="15" t="s">
        <v>36</v>
      </c>
      <c r="Y545" s="13" t="s">
        <v>59</v>
      </c>
    </row>
    <row x14ac:dyDescent="0.25" r="546" customHeight="1" ht="18.75">
      <c r="A546" s="5">
        <v>74020377</v>
      </c>
      <c r="B546" s="6">
        <v>1554</v>
      </c>
      <c r="C546" s="7" t="s">
        <v>2669</v>
      </c>
      <c r="D546" s="7" t="s">
        <v>2670</v>
      </c>
      <c r="E546" s="8">
        <v>74020377</v>
      </c>
      <c r="F546" s="8">
        <v>1554</v>
      </c>
      <c r="G546" s="7" t="s">
        <v>27</v>
      </c>
      <c r="H546" s="7" t="s">
        <v>2671</v>
      </c>
      <c r="I546" s="7" t="s">
        <v>2672</v>
      </c>
      <c r="J546" s="8">
        <f>79218975695</f>
      </c>
      <c r="K546" s="9"/>
      <c r="L546" s="7" t="s">
        <v>54</v>
      </c>
      <c r="M546" s="8">
        <v>188</v>
      </c>
      <c r="N546" s="7" t="s">
        <v>55</v>
      </c>
      <c r="O546" s="7" t="s">
        <v>56</v>
      </c>
      <c r="P546" s="7" t="s">
        <v>57</v>
      </c>
      <c r="Q546" s="8" t="s">
        <v>58</v>
      </c>
      <c r="R546" s="7" t="s">
        <v>33</v>
      </c>
      <c r="S546" s="7" t="s">
        <v>34</v>
      </c>
      <c r="T546" s="10">
        <v>0</v>
      </c>
      <c r="U546" s="7" t="s">
        <v>48</v>
      </c>
      <c r="V546" s="10" t="s">
        <v>49</v>
      </c>
      <c r="W546" s="7" t="s">
        <v>48</v>
      </c>
      <c r="X546" s="10" t="s">
        <v>36</v>
      </c>
      <c r="Y546" s="7" t="s">
        <v>59</v>
      </c>
    </row>
    <row x14ac:dyDescent="0.25" r="547" customHeight="1" ht="18.75">
      <c r="A547" s="11">
        <v>74020376</v>
      </c>
      <c r="B547" s="12">
        <v>1556</v>
      </c>
      <c r="C547" s="13" t="s">
        <v>2673</v>
      </c>
      <c r="D547" s="13" t="s">
        <v>2674</v>
      </c>
      <c r="E547" s="14">
        <v>74020376</v>
      </c>
      <c r="F547" s="14">
        <v>1556</v>
      </c>
      <c r="G547" s="13" t="s">
        <v>27</v>
      </c>
      <c r="H547" s="13" t="s">
        <v>2675</v>
      </c>
      <c r="I547" s="13" t="s">
        <v>2676</v>
      </c>
      <c r="J547" s="14">
        <f>79218975694</f>
      </c>
      <c r="K547" s="9"/>
      <c r="L547" s="13" t="s">
        <v>54</v>
      </c>
      <c r="M547" s="14">
        <v>188</v>
      </c>
      <c r="N547" s="13" t="s">
        <v>55</v>
      </c>
      <c r="O547" s="13" t="s">
        <v>56</v>
      </c>
      <c r="P547" s="13" t="s">
        <v>57</v>
      </c>
      <c r="Q547" s="14" t="s">
        <v>58</v>
      </c>
      <c r="R547" s="13" t="s">
        <v>33</v>
      </c>
      <c r="S547" s="13" t="s">
        <v>34</v>
      </c>
      <c r="T547" s="15">
        <v>0</v>
      </c>
      <c r="U547" s="13" t="s">
        <v>35</v>
      </c>
      <c r="V547" s="15" t="s">
        <v>64</v>
      </c>
      <c r="W547" s="13" t="s">
        <v>48</v>
      </c>
      <c r="X547" s="15" t="s">
        <v>36</v>
      </c>
      <c r="Y547" s="13" t="s">
        <v>84</v>
      </c>
    </row>
    <row x14ac:dyDescent="0.25" r="548" customHeight="1" ht="18.75">
      <c r="A548" s="5">
        <v>74020375</v>
      </c>
      <c r="B548" s="6">
        <v>1557</v>
      </c>
      <c r="C548" s="7" t="s">
        <v>2677</v>
      </c>
      <c r="D548" s="7" t="s">
        <v>2678</v>
      </c>
      <c r="E548" s="8">
        <v>74020375</v>
      </c>
      <c r="F548" s="8">
        <v>1557</v>
      </c>
      <c r="G548" s="7" t="s">
        <v>27</v>
      </c>
      <c r="H548" s="7" t="s">
        <v>2679</v>
      </c>
      <c r="I548" s="7" t="s">
        <v>2680</v>
      </c>
      <c r="J548" s="8">
        <f>79250046304</f>
      </c>
      <c r="K548" s="9"/>
      <c r="L548" s="7" t="s">
        <v>54</v>
      </c>
      <c r="M548" s="8">
        <v>188</v>
      </c>
      <c r="N548" s="7" t="s">
        <v>55</v>
      </c>
      <c r="O548" s="7" t="s">
        <v>82</v>
      </c>
      <c r="P548" s="7" t="s">
        <v>268</v>
      </c>
      <c r="Q548" s="8" t="s">
        <v>58</v>
      </c>
      <c r="R548" s="7" t="s">
        <v>33</v>
      </c>
      <c r="S548" s="7" t="s">
        <v>34</v>
      </c>
      <c r="T548" s="10">
        <v>0</v>
      </c>
      <c r="U548" s="7" t="s">
        <v>35</v>
      </c>
      <c r="V548" s="10" t="s">
        <v>214</v>
      </c>
      <c r="W548" s="7" t="s">
        <v>48</v>
      </c>
      <c r="X548" s="10" t="s">
        <v>36</v>
      </c>
      <c r="Y548" s="7" t="s">
        <v>59</v>
      </c>
    </row>
    <row x14ac:dyDescent="0.25" r="549" customHeight="1" ht="18.75">
      <c r="A549" s="11">
        <v>74020378</v>
      </c>
      <c r="B549" s="12">
        <v>1559</v>
      </c>
      <c r="C549" s="13" t="s">
        <v>2681</v>
      </c>
      <c r="D549" s="13" t="s">
        <v>2682</v>
      </c>
      <c r="E549" s="14">
        <v>74020378</v>
      </c>
      <c r="F549" s="14">
        <v>1559</v>
      </c>
      <c r="G549" s="13" t="s">
        <v>27</v>
      </c>
      <c r="H549" s="13" t="s">
        <v>2683</v>
      </c>
      <c r="I549" s="13" t="s">
        <v>2684</v>
      </c>
      <c r="J549" s="14">
        <f>73472262444</f>
      </c>
      <c r="K549" s="14">
        <v>1003</v>
      </c>
      <c r="L549" s="13" t="s">
        <v>94</v>
      </c>
      <c r="M549" s="14">
        <v>256</v>
      </c>
      <c r="N549" s="13" t="s">
        <v>2685</v>
      </c>
      <c r="O549" s="13" t="s">
        <v>96</v>
      </c>
      <c r="P549" s="13" t="s">
        <v>97</v>
      </c>
      <c r="Q549" s="14" t="s">
        <v>2682</v>
      </c>
      <c r="R549" s="13" t="s">
        <v>33</v>
      </c>
      <c r="S549" s="13" t="s">
        <v>34</v>
      </c>
      <c r="T549" s="15">
        <v>0</v>
      </c>
      <c r="U549" s="13" t="s">
        <v>35</v>
      </c>
      <c r="V549" s="15" t="s">
        <v>214</v>
      </c>
      <c r="W549" s="13" t="s">
        <v>48</v>
      </c>
      <c r="X549" s="15" t="s">
        <v>36</v>
      </c>
      <c r="Y549" s="13" t="s">
        <v>59</v>
      </c>
    </row>
    <row x14ac:dyDescent="0.25" r="550" customHeight="1" ht="18.75">
      <c r="A550" s="5">
        <v>74020381</v>
      </c>
      <c r="B550" s="6">
        <v>1560</v>
      </c>
      <c r="C550" s="7" t="s">
        <v>2686</v>
      </c>
      <c r="D550" s="7" t="s">
        <v>2687</v>
      </c>
      <c r="E550" s="8">
        <v>74020381</v>
      </c>
      <c r="F550" s="8">
        <v>1560</v>
      </c>
      <c r="G550" s="7" t="s">
        <v>27</v>
      </c>
      <c r="H550" s="7" t="s">
        <v>2688</v>
      </c>
      <c r="I550" s="7" t="s">
        <v>2689</v>
      </c>
      <c r="J550" s="8">
        <f>79636304990</f>
      </c>
      <c r="K550" s="9"/>
      <c r="L550" s="7" t="s">
        <v>30</v>
      </c>
      <c r="M550" s="8">
        <v>56</v>
      </c>
      <c r="N550" s="7" t="s">
        <v>31</v>
      </c>
      <c r="O550" s="7" t="s">
        <v>32</v>
      </c>
      <c r="P550" s="7" t="s">
        <v>32</v>
      </c>
      <c r="Q550" s="8" t="s">
        <v>58</v>
      </c>
      <c r="R550" s="7" t="s">
        <v>33</v>
      </c>
      <c r="S550" s="7" t="s">
        <v>34</v>
      </c>
      <c r="T550" s="10">
        <v>0</v>
      </c>
      <c r="U550" s="7" t="s">
        <v>35</v>
      </c>
      <c r="V550" s="10" t="s">
        <v>64</v>
      </c>
      <c r="W550" s="7" t="s">
        <v>48</v>
      </c>
      <c r="X550" s="10" t="s">
        <v>36</v>
      </c>
      <c r="Y550" s="7" t="s">
        <v>59</v>
      </c>
    </row>
    <row x14ac:dyDescent="0.25" r="551" customHeight="1" ht="18.75">
      <c r="A551" s="11">
        <v>74020385</v>
      </c>
      <c r="B551" s="12">
        <v>1563</v>
      </c>
      <c r="C551" s="13" t="s">
        <v>2690</v>
      </c>
      <c r="D551" s="13" t="s">
        <v>2691</v>
      </c>
      <c r="E551" s="14">
        <v>74020385</v>
      </c>
      <c r="F551" s="14">
        <v>1563</v>
      </c>
      <c r="G551" s="13" t="s">
        <v>27</v>
      </c>
      <c r="H551" s="13" t="s">
        <v>2692</v>
      </c>
      <c r="I551" s="13" t="s">
        <v>2693</v>
      </c>
      <c r="J551" s="14">
        <f>73412908211</f>
      </c>
      <c r="K551" s="9"/>
      <c r="L551" s="13" t="s">
        <v>42</v>
      </c>
      <c r="M551" s="14">
        <v>132</v>
      </c>
      <c r="N551" s="13" t="s">
        <v>820</v>
      </c>
      <c r="O551" s="13" t="s">
        <v>44</v>
      </c>
      <c r="P551" s="13" t="s">
        <v>45</v>
      </c>
      <c r="Q551" s="14" t="s">
        <v>2691</v>
      </c>
      <c r="R551" s="13" t="s">
        <v>33</v>
      </c>
      <c r="S551" s="13" t="s">
        <v>34</v>
      </c>
      <c r="T551" s="15">
        <v>0</v>
      </c>
      <c r="U551" s="13" t="s">
        <v>48</v>
      </c>
      <c r="V551" s="15" t="s">
        <v>195</v>
      </c>
      <c r="W551" s="13" t="s">
        <v>48</v>
      </c>
      <c r="X551" s="15" t="s">
        <v>36</v>
      </c>
      <c r="Y551" s="13" t="s">
        <v>37</v>
      </c>
    </row>
    <row x14ac:dyDescent="0.25" r="552" customHeight="1" ht="18.75">
      <c r="A552" s="5">
        <v>74020387</v>
      </c>
      <c r="B552" s="6">
        <v>1564</v>
      </c>
      <c r="C552" s="7" t="s">
        <v>2694</v>
      </c>
      <c r="D552" s="7" t="s">
        <v>2695</v>
      </c>
      <c r="E552" s="8">
        <v>74020387</v>
      </c>
      <c r="F552" s="8">
        <v>1564</v>
      </c>
      <c r="G552" s="7" t="s">
        <v>27</v>
      </c>
      <c r="H552" s="7" t="s">
        <v>2696</v>
      </c>
      <c r="I552" s="7" t="s">
        <v>2697</v>
      </c>
      <c r="J552" s="8">
        <f>78452659936</f>
      </c>
      <c r="K552" s="9"/>
      <c r="L552" s="7" t="s">
        <v>327</v>
      </c>
      <c r="M552" s="8">
        <v>100623</v>
      </c>
      <c r="N552" s="7" t="s">
        <v>328</v>
      </c>
      <c r="O552" s="7" t="s">
        <v>44</v>
      </c>
      <c r="P552" s="7" t="s">
        <v>329</v>
      </c>
      <c r="Q552" s="8" t="s">
        <v>2698</v>
      </c>
      <c r="R552" s="7" t="s">
        <v>33</v>
      </c>
      <c r="S552" s="7" t="s">
        <v>34</v>
      </c>
      <c r="T552" s="10">
        <v>0</v>
      </c>
      <c r="U552" s="7" t="s">
        <v>35</v>
      </c>
      <c r="V552" s="10" t="s">
        <v>36</v>
      </c>
      <c r="W552" s="7" t="s">
        <v>48</v>
      </c>
      <c r="X552" s="10" t="s">
        <v>36</v>
      </c>
      <c r="Y552" s="7" t="s">
        <v>59</v>
      </c>
    </row>
    <row x14ac:dyDescent="0.25" r="553" customHeight="1" ht="18.75">
      <c r="A553" s="11">
        <v>74020391</v>
      </c>
      <c r="B553" s="12">
        <v>1567</v>
      </c>
      <c r="C553" s="13" t="s">
        <v>2699</v>
      </c>
      <c r="D553" s="13" t="s">
        <v>2700</v>
      </c>
      <c r="E553" s="14">
        <v>74020391</v>
      </c>
      <c r="F553" s="14">
        <v>1567</v>
      </c>
      <c r="G553" s="13" t="s">
        <v>27</v>
      </c>
      <c r="H553" s="13" t="s">
        <v>2701</v>
      </c>
      <c r="I553" s="13" t="s">
        <v>2702</v>
      </c>
      <c r="J553" s="14">
        <f>79250049098</f>
      </c>
      <c r="K553" s="9"/>
      <c r="L553" s="13" t="s">
        <v>54</v>
      </c>
      <c r="M553" s="14">
        <v>188</v>
      </c>
      <c r="N553" s="13" t="s">
        <v>55</v>
      </c>
      <c r="O553" s="13" t="s">
        <v>32</v>
      </c>
      <c r="P553" s="13" t="s">
        <v>32</v>
      </c>
      <c r="Q553" s="14" t="s">
        <v>58</v>
      </c>
      <c r="R553" s="13" t="s">
        <v>33</v>
      </c>
      <c r="S553" s="13" t="s">
        <v>34</v>
      </c>
      <c r="T553" s="15">
        <v>0</v>
      </c>
      <c r="U553" s="13" t="s">
        <v>35</v>
      </c>
      <c r="V553" s="15" t="s">
        <v>64</v>
      </c>
      <c r="W553" s="13" t="s">
        <v>48</v>
      </c>
      <c r="X553" s="15" t="s">
        <v>36</v>
      </c>
      <c r="Y553" s="13" t="s">
        <v>59</v>
      </c>
    </row>
    <row x14ac:dyDescent="0.25" r="554" customHeight="1" ht="18.75">
      <c r="A554" s="5">
        <v>74020395</v>
      </c>
      <c r="B554" s="6">
        <v>1570</v>
      </c>
      <c r="C554" s="7" t="s">
        <v>2703</v>
      </c>
      <c r="D554" s="7" t="s">
        <v>2704</v>
      </c>
      <c r="E554" s="8">
        <v>74020395</v>
      </c>
      <c r="F554" s="8">
        <v>1570</v>
      </c>
      <c r="G554" s="7" t="s">
        <v>27</v>
      </c>
      <c r="H554" s="7" t="s">
        <v>2705</v>
      </c>
      <c r="I554" s="7" t="s">
        <v>2706</v>
      </c>
      <c r="J554" s="8">
        <f>73472262444</f>
      </c>
      <c r="K554" s="8">
        <v>1004</v>
      </c>
      <c r="L554" s="7" t="s">
        <v>94</v>
      </c>
      <c r="M554" s="8">
        <v>253</v>
      </c>
      <c r="N554" s="7" t="s">
        <v>2707</v>
      </c>
      <c r="O554" s="7" t="s">
        <v>96</v>
      </c>
      <c r="P554" s="7" t="s">
        <v>97</v>
      </c>
      <c r="Q554" s="8" t="s">
        <v>2704</v>
      </c>
      <c r="R554" s="7" t="s">
        <v>33</v>
      </c>
      <c r="S554" s="7" t="s">
        <v>34</v>
      </c>
      <c r="T554" s="10">
        <v>0</v>
      </c>
      <c r="U554" s="7"/>
      <c r="V554" s="10">
        <v>0</v>
      </c>
      <c r="W554" s="7" t="s">
        <v>35</v>
      </c>
      <c r="X554" s="10" t="s">
        <v>36</v>
      </c>
      <c r="Y554" s="7" t="s">
        <v>37</v>
      </c>
    </row>
    <row x14ac:dyDescent="0.25" r="555" customHeight="1" ht="18.75">
      <c r="A555" s="11">
        <v>74020398</v>
      </c>
      <c r="B555" s="12">
        <v>1571</v>
      </c>
      <c r="C555" s="13" t="s">
        <v>2708</v>
      </c>
      <c r="D555" s="13" t="s">
        <v>2709</v>
      </c>
      <c r="E555" s="14">
        <v>74020398</v>
      </c>
      <c r="F555" s="14">
        <v>1571</v>
      </c>
      <c r="G555" s="13" t="s">
        <v>27</v>
      </c>
      <c r="H555" s="13" t="s">
        <v>2710</v>
      </c>
      <c r="I555" s="13" t="s">
        <v>2711</v>
      </c>
      <c r="J555" s="14">
        <f>79218975669</f>
      </c>
      <c r="K555" s="9"/>
      <c r="L555" s="13" t="s">
        <v>54</v>
      </c>
      <c r="M555" s="14">
        <v>188</v>
      </c>
      <c r="N555" s="13" t="s">
        <v>55</v>
      </c>
      <c r="O555" s="13" t="s">
        <v>56</v>
      </c>
      <c r="P555" s="13" t="s">
        <v>57</v>
      </c>
      <c r="Q555" s="14" t="s">
        <v>58</v>
      </c>
      <c r="R555" s="13" t="s">
        <v>33</v>
      </c>
      <c r="S555" s="13" t="s">
        <v>34</v>
      </c>
      <c r="T555" s="15">
        <v>0</v>
      </c>
      <c r="U555" s="13" t="s">
        <v>35</v>
      </c>
      <c r="V555" s="15" t="s">
        <v>64</v>
      </c>
      <c r="W555" s="13" t="s">
        <v>48</v>
      </c>
      <c r="X555" s="15" t="s">
        <v>36</v>
      </c>
      <c r="Y555" s="13" t="s">
        <v>126</v>
      </c>
    </row>
    <row x14ac:dyDescent="0.25" r="556" customHeight="1" ht="18.75">
      <c r="A556" s="5">
        <v>74020402</v>
      </c>
      <c r="B556" s="6">
        <v>1572</v>
      </c>
      <c r="C556" s="7" t="s">
        <v>2712</v>
      </c>
      <c r="D556" s="7" t="s">
        <v>2713</v>
      </c>
      <c r="E556" s="8">
        <v>74020402</v>
      </c>
      <c r="F556" s="8">
        <v>1572</v>
      </c>
      <c r="G556" s="7" t="s">
        <v>27</v>
      </c>
      <c r="H556" s="7" t="s">
        <v>2714</v>
      </c>
      <c r="I556" s="7" t="s">
        <v>2715</v>
      </c>
      <c r="J556" s="8">
        <f>79306948810</f>
      </c>
      <c r="K556" s="9"/>
      <c r="L556" s="7" t="s">
        <v>54</v>
      </c>
      <c r="M556" s="8">
        <v>188</v>
      </c>
      <c r="N556" s="7" t="s">
        <v>55</v>
      </c>
      <c r="O556" s="7" t="s">
        <v>44</v>
      </c>
      <c r="P556" s="7" t="s">
        <v>89</v>
      </c>
      <c r="Q556" s="8" t="s">
        <v>58</v>
      </c>
      <c r="R556" s="7" t="s">
        <v>33</v>
      </c>
      <c r="S556" s="7" t="s">
        <v>34</v>
      </c>
      <c r="T556" s="10">
        <v>0</v>
      </c>
      <c r="U556" s="7" t="s">
        <v>35</v>
      </c>
      <c r="V556" s="10" t="s">
        <v>36</v>
      </c>
      <c r="W556" s="7" t="s">
        <v>48</v>
      </c>
      <c r="X556" s="10" t="s">
        <v>36</v>
      </c>
      <c r="Y556" s="7" t="s">
        <v>59</v>
      </c>
    </row>
    <row x14ac:dyDescent="0.25" r="557" customHeight="1" ht="18.75">
      <c r="A557" s="11">
        <v>74020400</v>
      </c>
      <c r="B557" s="12">
        <v>1576</v>
      </c>
      <c r="C557" s="13" t="s">
        <v>2716</v>
      </c>
      <c r="D557" s="13" t="s">
        <v>2717</v>
      </c>
      <c r="E557" s="14">
        <v>74020400</v>
      </c>
      <c r="F557" s="14">
        <v>1576</v>
      </c>
      <c r="G557" s="13" t="s">
        <v>27</v>
      </c>
      <c r="H557" s="13" t="s">
        <v>2718</v>
      </c>
      <c r="I557" s="13" t="s">
        <v>2719</v>
      </c>
      <c r="J557" s="14">
        <f>73519490230</f>
      </c>
      <c r="K557" s="14">
        <v>1012</v>
      </c>
      <c r="L557" s="13" t="s">
        <v>94</v>
      </c>
      <c r="M557" s="14">
        <v>180</v>
      </c>
      <c r="N557" s="13" t="s">
        <v>2720</v>
      </c>
      <c r="O557" s="13" t="s">
        <v>96</v>
      </c>
      <c r="P557" s="13" t="s">
        <v>280</v>
      </c>
      <c r="Q557" s="14" t="s">
        <v>182</v>
      </c>
      <c r="R557" s="13" t="s">
        <v>33</v>
      </c>
      <c r="S557" s="13" t="s">
        <v>34</v>
      </c>
      <c r="T557" s="15">
        <v>0</v>
      </c>
      <c r="U557" s="13" t="s">
        <v>48</v>
      </c>
      <c r="V557" s="15" t="s">
        <v>2435</v>
      </c>
      <c r="W557" s="13" t="s">
        <v>35</v>
      </c>
      <c r="X557" s="15" t="s">
        <v>36</v>
      </c>
      <c r="Y557" s="13" t="s">
        <v>37</v>
      </c>
    </row>
    <row x14ac:dyDescent="0.25" r="558" customHeight="1" ht="18.75">
      <c r="A558" s="5">
        <v>74020418</v>
      </c>
      <c r="B558" s="6">
        <v>1578</v>
      </c>
      <c r="C558" s="7" t="s">
        <v>2721</v>
      </c>
      <c r="D558" s="7" t="s">
        <v>2722</v>
      </c>
      <c r="E558" s="8">
        <v>74020418</v>
      </c>
      <c r="F558" s="8">
        <v>1578</v>
      </c>
      <c r="G558" s="7" t="s">
        <v>27</v>
      </c>
      <c r="H558" s="7" t="s">
        <v>2723</v>
      </c>
      <c r="I558" s="7" t="s">
        <v>2724</v>
      </c>
      <c r="J558" s="8">
        <f>74952120000</f>
      </c>
      <c r="K558" s="8">
        <v>5100</v>
      </c>
      <c r="L558" s="7" t="s">
        <v>2034</v>
      </c>
      <c r="M558" s="8">
        <v>141</v>
      </c>
      <c r="N558" s="7" t="s">
        <v>2035</v>
      </c>
      <c r="O558" s="7" t="s">
        <v>82</v>
      </c>
      <c r="P558" s="7" t="s">
        <v>1178</v>
      </c>
      <c r="Q558" s="8" t="s">
        <v>2725</v>
      </c>
      <c r="R558" s="7" t="s">
        <v>33</v>
      </c>
      <c r="S558" s="7" t="s">
        <v>34</v>
      </c>
      <c r="T558" s="10">
        <v>0</v>
      </c>
      <c r="U558" s="7"/>
      <c r="V558" s="10">
        <v>0</v>
      </c>
      <c r="W558" s="7"/>
      <c r="X558" s="10">
        <v>0</v>
      </c>
      <c r="Y558" s="7" t="s">
        <v>126</v>
      </c>
    </row>
    <row x14ac:dyDescent="0.25" r="559" customHeight="1" ht="18.75">
      <c r="A559" s="11">
        <v>74020419</v>
      </c>
      <c r="B559" s="12">
        <v>1579</v>
      </c>
      <c r="C559" s="13" t="s">
        <v>2726</v>
      </c>
      <c r="D559" s="13" t="s">
        <v>2727</v>
      </c>
      <c r="E559" s="14">
        <v>74020419</v>
      </c>
      <c r="F559" s="14">
        <v>1579</v>
      </c>
      <c r="G559" s="13" t="s">
        <v>27</v>
      </c>
      <c r="H559" s="13" t="s">
        <v>2728</v>
      </c>
      <c r="I559" s="13" t="s">
        <v>2729</v>
      </c>
      <c r="J559" s="14">
        <f>74952120000</f>
      </c>
      <c r="K559" s="14">
        <v>5058</v>
      </c>
      <c r="L559" s="13" t="s">
        <v>2034</v>
      </c>
      <c r="M559" s="14">
        <v>141</v>
      </c>
      <c r="N559" s="13" t="s">
        <v>2035</v>
      </c>
      <c r="O559" s="13" t="s">
        <v>82</v>
      </c>
      <c r="P559" s="13" t="s">
        <v>82</v>
      </c>
      <c r="Q559" s="14" t="s">
        <v>2730</v>
      </c>
      <c r="R559" s="13" t="s">
        <v>33</v>
      </c>
      <c r="S559" s="13" t="s">
        <v>34</v>
      </c>
      <c r="T559" s="15">
        <v>0</v>
      </c>
      <c r="U559" s="13"/>
      <c r="V559" s="15">
        <v>0</v>
      </c>
      <c r="W559" s="13"/>
      <c r="X559" s="15">
        <v>0</v>
      </c>
      <c r="Y559" s="13" t="s">
        <v>126</v>
      </c>
    </row>
    <row x14ac:dyDescent="0.25" r="560" customHeight="1" ht="18.75">
      <c r="A560" s="5">
        <v>74020463</v>
      </c>
      <c r="B560" s="6">
        <v>1593</v>
      </c>
      <c r="C560" s="7" t="s">
        <v>2731</v>
      </c>
      <c r="D560" s="7" t="s">
        <v>2732</v>
      </c>
      <c r="E560" s="8">
        <v>74020463</v>
      </c>
      <c r="F560" s="8">
        <v>1593</v>
      </c>
      <c r="G560" s="7" t="s">
        <v>27</v>
      </c>
      <c r="H560" s="7" t="s">
        <v>2733</v>
      </c>
      <c r="I560" s="7" t="s">
        <v>2734</v>
      </c>
      <c r="J560" s="8">
        <f>74952120000</f>
      </c>
      <c r="K560" s="8">
        <v>5052</v>
      </c>
      <c r="L560" s="7" t="s">
        <v>2034</v>
      </c>
      <c r="M560" s="8">
        <v>141</v>
      </c>
      <c r="N560" s="7" t="s">
        <v>2035</v>
      </c>
      <c r="O560" s="7" t="s">
        <v>32</v>
      </c>
      <c r="P560" s="7" t="s">
        <v>32</v>
      </c>
      <c r="Q560" s="8" t="s">
        <v>2732</v>
      </c>
      <c r="R560" s="7" t="s">
        <v>33</v>
      </c>
      <c r="S560" s="7" t="s">
        <v>34</v>
      </c>
      <c r="T560" s="10">
        <v>0</v>
      </c>
      <c r="U560" s="7"/>
      <c r="V560" s="10">
        <v>0</v>
      </c>
      <c r="W560" s="7"/>
      <c r="X560" s="10">
        <v>0</v>
      </c>
      <c r="Y560" s="7" t="s">
        <v>37</v>
      </c>
    </row>
    <row x14ac:dyDescent="0.25" r="561" customHeight="1" ht="18.75">
      <c r="A561" s="11">
        <v>74020473</v>
      </c>
      <c r="B561" s="12">
        <v>1598</v>
      </c>
      <c r="C561" s="13" t="s">
        <v>2735</v>
      </c>
      <c r="D561" s="13" t="s">
        <v>2736</v>
      </c>
      <c r="E561" s="14">
        <v>74020473</v>
      </c>
      <c r="F561" s="14">
        <v>1598</v>
      </c>
      <c r="G561" s="13" t="s">
        <v>27</v>
      </c>
      <c r="H561" s="13" t="s">
        <v>2737</v>
      </c>
      <c r="I561" s="13" t="s">
        <v>2738</v>
      </c>
      <c r="J561" s="14">
        <f>79250050492</f>
      </c>
      <c r="K561" s="9"/>
      <c r="L561" s="13" t="s">
        <v>54</v>
      </c>
      <c r="M561" s="14">
        <v>188</v>
      </c>
      <c r="N561" s="13" t="s">
        <v>55</v>
      </c>
      <c r="O561" s="13" t="s">
        <v>32</v>
      </c>
      <c r="P561" s="13" t="s">
        <v>32</v>
      </c>
      <c r="Q561" s="14" t="s">
        <v>58</v>
      </c>
      <c r="R561" s="13" t="s">
        <v>33</v>
      </c>
      <c r="S561" s="13" t="s">
        <v>34</v>
      </c>
      <c r="T561" s="15">
        <v>0</v>
      </c>
      <c r="U561" s="13" t="s">
        <v>48</v>
      </c>
      <c r="V561" s="15" t="s">
        <v>49</v>
      </c>
      <c r="W561" s="13" t="s">
        <v>35</v>
      </c>
      <c r="X561" s="15" t="s">
        <v>36</v>
      </c>
      <c r="Y561" s="13" t="s">
        <v>126</v>
      </c>
    </row>
    <row x14ac:dyDescent="0.25" r="562" customHeight="1" ht="18.75">
      <c r="A562" s="5">
        <v>74020487</v>
      </c>
      <c r="B562" s="6">
        <v>1605</v>
      </c>
      <c r="C562" s="7" t="s">
        <v>2739</v>
      </c>
      <c r="D562" s="7" t="s">
        <v>2740</v>
      </c>
      <c r="E562" s="8">
        <v>74020487</v>
      </c>
      <c r="F562" s="8">
        <v>1605</v>
      </c>
      <c r="G562" s="7" t="s">
        <v>27</v>
      </c>
      <c r="H562" s="7" t="s">
        <v>2741</v>
      </c>
      <c r="I562" s="7" t="s">
        <v>2742</v>
      </c>
      <c r="J562" s="8">
        <f>74952120000</f>
      </c>
      <c r="K562" s="8">
        <v>5556</v>
      </c>
      <c r="L562" s="7" t="s">
        <v>2034</v>
      </c>
      <c r="M562" s="8">
        <v>141</v>
      </c>
      <c r="N562" s="7" t="s">
        <v>2035</v>
      </c>
      <c r="O562" s="7" t="s">
        <v>510</v>
      </c>
      <c r="P562" s="7" t="s">
        <v>2743</v>
      </c>
      <c r="Q562" s="8" t="s">
        <v>2744</v>
      </c>
      <c r="R562" s="7" t="s">
        <v>33</v>
      </c>
      <c r="S562" s="7" t="s">
        <v>34</v>
      </c>
      <c r="T562" s="10">
        <v>0</v>
      </c>
      <c r="U562" s="7"/>
      <c r="V562" s="10">
        <v>0</v>
      </c>
      <c r="W562" s="7"/>
      <c r="X562" s="10">
        <v>0</v>
      </c>
      <c r="Y562" s="7" t="s">
        <v>37</v>
      </c>
    </row>
    <row x14ac:dyDescent="0.25" r="563" customHeight="1" ht="18.75">
      <c r="A563" s="11">
        <v>74020490</v>
      </c>
      <c r="B563" s="12">
        <v>1608</v>
      </c>
      <c r="C563" s="13" t="s">
        <v>2745</v>
      </c>
      <c r="D563" s="13" t="s">
        <v>2746</v>
      </c>
      <c r="E563" s="14">
        <v>74020490</v>
      </c>
      <c r="F563" s="14">
        <v>1608</v>
      </c>
      <c r="G563" s="13" t="s">
        <v>27</v>
      </c>
      <c r="H563" s="13" t="s">
        <v>2747</v>
      </c>
      <c r="I563" s="13" t="s">
        <v>2748</v>
      </c>
      <c r="J563" s="14">
        <f>74952120000</f>
      </c>
      <c r="K563" s="14">
        <v>5062</v>
      </c>
      <c r="L563" s="13" t="s">
        <v>2034</v>
      </c>
      <c r="M563" s="14">
        <v>141</v>
      </c>
      <c r="N563" s="13" t="s">
        <v>2035</v>
      </c>
      <c r="O563" s="13" t="s">
        <v>82</v>
      </c>
      <c r="P563" s="13" t="s">
        <v>2100</v>
      </c>
      <c r="Q563" s="14" t="s">
        <v>2749</v>
      </c>
      <c r="R563" s="13" t="s">
        <v>33</v>
      </c>
      <c r="S563" s="13" t="s">
        <v>34</v>
      </c>
      <c r="T563" s="15">
        <v>0</v>
      </c>
      <c r="U563" s="13"/>
      <c r="V563" s="15">
        <v>0</v>
      </c>
      <c r="W563" s="13"/>
      <c r="X563" s="15">
        <v>0</v>
      </c>
      <c r="Y563" s="13" t="s">
        <v>126</v>
      </c>
    </row>
    <row x14ac:dyDescent="0.25" r="564" customHeight="1" ht="18.75">
      <c r="A564" s="5">
        <v>74020492</v>
      </c>
      <c r="B564" s="6">
        <v>1610</v>
      </c>
      <c r="C564" s="7" t="s">
        <v>2750</v>
      </c>
      <c r="D564" s="7" t="s">
        <v>2751</v>
      </c>
      <c r="E564" s="8">
        <v>74020492</v>
      </c>
      <c r="F564" s="8">
        <v>1610</v>
      </c>
      <c r="G564" s="7" t="s">
        <v>27</v>
      </c>
      <c r="H564" s="7" t="s">
        <v>2752</v>
      </c>
      <c r="I564" s="7" t="s">
        <v>2753</v>
      </c>
      <c r="J564" s="8">
        <f>74952120000</f>
      </c>
      <c r="K564" s="8">
        <v>5086</v>
      </c>
      <c r="L564" s="7" t="s">
        <v>2034</v>
      </c>
      <c r="M564" s="8">
        <v>141</v>
      </c>
      <c r="N564" s="7" t="s">
        <v>2035</v>
      </c>
      <c r="O564" s="7" t="s">
        <v>32</v>
      </c>
      <c r="P564" s="7" t="s">
        <v>32</v>
      </c>
      <c r="Q564" s="8" t="s">
        <v>2754</v>
      </c>
      <c r="R564" s="7" t="s">
        <v>33</v>
      </c>
      <c r="S564" s="7" t="s">
        <v>34</v>
      </c>
      <c r="T564" s="10">
        <v>0</v>
      </c>
      <c r="U564" s="7"/>
      <c r="V564" s="10">
        <v>0</v>
      </c>
      <c r="W564" s="7"/>
      <c r="X564" s="10">
        <v>0</v>
      </c>
      <c r="Y564" s="7" t="s">
        <v>59</v>
      </c>
    </row>
    <row x14ac:dyDescent="0.25" r="565" customHeight="1" ht="18.75">
      <c r="A565" s="11">
        <v>74020506</v>
      </c>
      <c r="B565" s="12">
        <v>1614</v>
      </c>
      <c r="C565" s="13" t="s">
        <v>2755</v>
      </c>
      <c r="D565" s="13" t="s">
        <v>2756</v>
      </c>
      <c r="E565" s="14">
        <v>74020506</v>
      </c>
      <c r="F565" s="14">
        <v>1614</v>
      </c>
      <c r="G565" s="13" t="s">
        <v>27</v>
      </c>
      <c r="H565" s="13" t="s">
        <v>2757</v>
      </c>
      <c r="I565" s="13" t="s">
        <v>2758</v>
      </c>
      <c r="J565" s="14">
        <f>74952120000</f>
      </c>
      <c r="K565" s="14">
        <v>5056</v>
      </c>
      <c r="L565" s="13" t="s">
        <v>2034</v>
      </c>
      <c r="M565" s="14">
        <v>141</v>
      </c>
      <c r="N565" s="13" t="s">
        <v>2035</v>
      </c>
      <c r="O565" s="13" t="s">
        <v>82</v>
      </c>
      <c r="P565" s="13" t="s">
        <v>651</v>
      </c>
      <c r="Q565" s="14" t="s">
        <v>2759</v>
      </c>
      <c r="R565" s="13" t="s">
        <v>33</v>
      </c>
      <c r="S565" s="13" t="s">
        <v>34</v>
      </c>
      <c r="T565" s="15">
        <v>0</v>
      </c>
      <c r="U565" s="13"/>
      <c r="V565" s="15">
        <v>0</v>
      </c>
      <c r="W565" s="13"/>
      <c r="X565" s="15">
        <v>0</v>
      </c>
      <c r="Y565" s="13" t="s">
        <v>37</v>
      </c>
    </row>
    <row x14ac:dyDescent="0.25" r="566" customHeight="1" ht="18.75">
      <c r="A566" s="5">
        <v>74020578</v>
      </c>
      <c r="B566" s="6">
        <v>1637</v>
      </c>
      <c r="C566" s="7" t="s">
        <v>2760</v>
      </c>
      <c r="D566" s="7" t="s">
        <v>2761</v>
      </c>
      <c r="E566" s="8">
        <v>74020578</v>
      </c>
      <c r="F566" s="8">
        <v>1637</v>
      </c>
      <c r="G566" s="7" t="s">
        <v>27</v>
      </c>
      <c r="H566" s="7" t="s">
        <v>2762</v>
      </c>
      <c r="I566" s="7" t="s">
        <v>2763</v>
      </c>
      <c r="J566" s="8">
        <f>74952120000</f>
      </c>
      <c r="K566" s="8">
        <v>5074</v>
      </c>
      <c r="L566" s="7" t="s">
        <v>2034</v>
      </c>
      <c r="M566" s="8">
        <v>141</v>
      </c>
      <c r="N566" s="7" t="s">
        <v>2035</v>
      </c>
      <c r="O566" s="7" t="s">
        <v>32</v>
      </c>
      <c r="P566" s="7" t="s">
        <v>32</v>
      </c>
      <c r="Q566" s="8" t="s">
        <v>2764</v>
      </c>
      <c r="R566" s="7" t="s">
        <v>33</v>
      </c>
      <c r="S566" s="7" t="s">
        <v>34</v>
      </c>
      <c r="T566" s="10">
        <v>0</v>
      </c>
      <c r="U566" s="7"/>
      <c r="V566" s="10">
        <v>0</v>
      </c>
      <c r="W566" s="7"/>
      <c r="X566" s="10">
        <v>0</v>
      </c>
      <c r="Y566" s="7" t="s">
        <v>59</v>
      </c>
    </row>
    <row x14ac:dyDescent="0.25" r="567" customHeight="1" ht="18.75">
      <c r="A567" s="11">
        <v>74020587</v>
      </c>
      <c r="B567" s="12">
        <v>1639</v>
      </c>
      <c r="C567" s="13" t="s">
        <v>2765</v>
      </c>
      <c r="D567" s="13" t="s">
        <v>2766</v>
      </c>
      <c r="E567" s="14">
        <v>74020587</v>
      </c>
      <c r="F567" s="14">
        <v>1639</v>
      </c>
      <c r="G567" s="13" t="s">
        <v>27</v>
      </c>
      <c r="H567" s="13" t="s">
        <v>2767</v>
      </c>
      <c r="I567" s="13" t="s">
        <v>2768</v>
      </c>
      <c r="J567" s="14">
        <f>74952120000</f>
      </c>
      <c r="K567" s="14">
        <v>5088</v>
      </c>
      <c r="L567" s="13" t="s">
        <v>2034</v>
      </c>
      <c r="M567" s="14">
        <v>141</v>
      </c>
      <c r="N567" s="13" t="s">
        <v>2035</v>
      </c>
      <c r="O567" s="13" t="s">
        <v>82</v>
      </c>
      <c r="P567" s="13" t="s">
        <v>2769</v>
      </c>
      <c r="Q567" s="14" t="s">
        <v>2770</v>
      </c>
      <c r="R567" s="13" t="s">
        <v>33</v>
      </c>
      <c r="S567" s="13" t="s">
        <v>34</v>
      </c>
      <c r="T567" s="15">
        <v>0</v>
      </c>
      <c r="U567" s="13"/>
      <c r="V567" s="15">
        <v>0</v>
      </c>
      <c r="W567" s="13"/>
      <c r="X567" s="15">
        <v>0</v>
      </c>
      <c r="Y567" s="13" t="s">
        <v>126</v>
      </c>
    </row>
    <row x14ac:dyDescent="0.25" r="568" customHeight="1" ht="18.75">
      <c r="A568" s="5">
        <v>74020597</v>
      </c>
      <c r="B568" s="6">
        <v>1640</v>
      </c>
      <c r="C568" s="7" t="s">
        <v>2771</v>
      </c>
      <c r="D568" s="7" t="s">
        <v>2772</v>
      </c>
      <c r="E568" s="8">
        <v>74020597</v>
      </c>
      <c r="F568" s="8">
        <v>1640</v>
      </c>
      <c r="G568" s="7" t="s">
        <v>27</v>
      </c>
      <c r="H568" s="7" t="s">
        <v>2773</v>
      </c>
      <c r="I568" s="7" t="s">
        <v>2774</v>
      </c>
      <c r="J568" s="8">
        <f>74952120000</f>
      </c>
      <c r="K568" s="8">
        <v>5560</v>
      </c>
      <c r="L568" s="7" t="s">
        <v>2034</v>
      </c>
      <c r="M568" s="8">
        <v>141</v>
      </c>
      <c r="N568" s="7" t="s">
        <v>2035</v>
      </c>
      <c r="O568" s="7" t="s">
        <v>510</v>
      </c>
      <c r="P568" s="7" t="s">
        <v>2743</v>
      </c>
      <c r="Q568" s="8" t="s">
        <v>2772</v>
      </c>
      <c r="R568" s="7" t="s">
        <v>33</v>
      </c>
      <c r="S568" s="7" t="s">
        <v>34</v>
      </c>
      <c r="T568" s="10">
        <v>0</v>
      </c>
      <c r="U568" s="7"/>
      <c r="V568" s="10">
        <v>0</v>
      </c>
      <c r="W568" s="7"/>
      <c r="X568" s="10">
        <v>0</v>
      </c>
      <c r="Y568" s="7" t="s">
        <v>126</v>
      </c>
    </row>
    <row x14ac:dyDescent="0.25" r="569" customHeight="1" ht="18.75">
      <c r="A569" s="11">
        <v>74020608</v>
      </c>
      <c r="B569" s="12">
        <v>1647</v>
      </c>
      <c r="C569" s="13" t="s">
        <v>2775</v>
      </c>
      <c r="D569" s="13" t="s">
        <v>2776</v>
      </c>
      <c r="E569" s="14">
        <v>74020608</v>
      </c>
      <c r="F569" s="14">
        <v>1647</v>
      </c>
      <c r="G569" s="13" t="s">
        <v>27</v>
      </c>
      <c r="H569" s="13" t="s">
        <v>2777</v>
      </c>
      <c r="I569" s="13" t="s">
        <v>2778</v>
      </c>
      <c r="J569" s="14">
        <f>74952120000</f>
      </c>
      <c r="K569" s="14">
        <v>5752</v>
      </c>
      <c r="L569" s="13" t="s">
        <v>2034</v>
      </c>
      <c r="M569" s="14">
        <v>141</v>
      </c>
      <c r="N569" s="13" t="s">
        <v>2035</v>
      </c>
      <c r="O569" s="13" t="s">
        <v>510</v>
      </c>
      <c r="P569" s="13" t="s">
        <v>2779</v>
      </c>
      <c r="Q569" s="14" t="s">
        <v>251</v>
      </c>
      <c r="R569" s="13" t="s">
        <v>33</v>
      </c>
      <c r="S569" s="13" t="s">
        <v>34</v>
      </c>
      <c r="T569" s="15">
        <v>0</v>
      </c>
      <c r="U569" s="13"/>
      <c r="V569" s="15">
        <v>0</v>
      </c>
      <c r="W569" s="13"/>
      <c r="X569" s="15">
        <v>0</v>
      </c>
      <c r="Y569" s="13" t="s">
        <v>59</v>
      </c>
    </row>
    <row x14ac:dyDescent="0.25" r="570" customHeight="1" ht="18.75">
      <c r="A570" s="5">
        <v>74020609</v>
      </c>
      <c r="B570" s="6">
        <v>1648</v>
      </c>
      <c r="C570" s="7" t="s">
        <v>2780</v>
      </c>
      <c r="D570" s="7" t="s">
        <v>2781</v>
      </c>
      <c r="E570" s="8">
        <v>74020609</v>
      </c>
      <c r="F570" s="8">
        <v>1648</v>
      </c>
      <c r="G570" s="7" t="s">
        <v>27</v>
      </c>
      <c r="H570" s="7" t="s">
        <v>2782</v>
      </c>
      <c r="I570" s="7" t="s">
        <v>2783</v>
      </c>
      <c r="J570" s="8">
        <f>74952120000</f>
      </c>
      <c r="K570" s="8">
        <v>5756</v>
      </c>
      <c r="L570" s="7" t="s">
        <v>2034</v>
      </c>
      <c r="M570" s="8">
        <v>141</v>
      </c>
      <c r="N570" s="7" t="s">
        <v>2035</v>
      </c>
      <c r="O570" s="7" t="s">
        <v>510</v>
      </c>
      <c r="P570" s="7" t="s">
        <v>2779</v>
      </c>
      <c r="Q570" s="8" t="s">
        <v>2784</v>
      </c>
      <c r="R570" s="7" t="s">
        <v>33</v>
      </c>
      <c r="S570" s="7" t="s">
        <v>34</v>
      </c>
      <c r="T570" s="10">
        <v>0</v>
      </c>
      <c r="U570" s="7"/>
      <c r="V570" s="10">
        <v>0</v>
      </c>
      <c r="W570" s="7"/>
      <c r="X570" s="10">
        <v>0</v>
      </c>
      <c r="Y570" s="7" t="s">
        <v>37</v>
      </c>
    </row>
    <row x14ac:dyDescent="0.25" r="571" customHeight="1" ht="18.75">
      <c r="A571" s="11">
        <v>74020610</v>
      </c>
      <c r="B571" s="12">
        <v>1649</v>
      </c>
      <c r="C571" s="13" t="s">
        <v>2785</v>
      </c>
      <c r="D571" s="13" t="s">
        <v>2786</v>
      </c>
      <c r="E571" s="14">
        <v>74020610</v>
      </c>
      <c r="F571" s="14">
        <v>1649</v>
      </c>
      <c r="G571" s="13" t="s">
        <v>27</v>
      </c>
      <c r="H571" s="13" t="s">
        <v>2787</v>
      </c>
      <c r="I571" s="13" t="s">
        <v>2788</v>
      </c>
      <c r="J571" s="14">
        <f>74952120000</f>
      </c>
      <c r="K571" s="14">
        <v>5754</v>
      </c>
      <c r="L571" s="13" t="s">
        <v>2034</v>
      </c>
      <c r="M571" s="14">
        <v>141</v>
      </c>
      <c r="N571" s="13" t="s">
        <v>2035</v>
      </c>
      <c r="O571" s="13" t="s">
        <v>510</v>
      </c>
      <c r="P571" s="13" t="s">
        <v>2779</v>
      </c>
      <c r="Q571" s="14" t="s">
        <v>2789</v>
      </c>
      <c r="R571" s="13" t="s">
        <v>33</v>
      </c>
      <c r="S571" s="13" t="s">
        <v>34</v>
      </c>
      <c r="T571" s="15">
        <v>0</v>
      </c>
      <c r="U571" s="13"/>
      <c r="V571" s="15">
        <v>0</v>
      </c>
      <c r="W571" s="13"/>
      <c r="X571" s="15">
        <v>0</v>
      </c>
      <c r="Y571" s="13" t="s">
        <v>37</v>
      </c>
    </row>
    <row x14ac:dyDescent="0.25" r="572" customHeight="1" ht="18.75">
      <c r="A572" s="5">
        <v>74020631</v>
      </c>
      <c r="B572" s="6">
        <v>1658</v>
      </c>
      <c r="C572" s="7" t="s">
        <v>2790</v>
      </c>
      <c r="D572" s="7" t="s">
        <v>2791</v>
      </c>
      <c r="E572" s="8">
        <v>74020631</v>
      </c>
      <c r="F572" s="8">
        <v>1658</v>
      </c>
      <c r="G572" s="7" t="s">
        <v>27</v>
      </c>
      <c r="H572" s="7" t="s">
        <v>2792</v>
      </c>
      <c r="I572" s="7" t="s">
        <v>2793</v>
      </c>
      <c r="J572" s="8">
        <f>74952120000</f>
      </c>
      <c r="K572" s="8">
        <v>5802</v>
      </c>
      <c r="L572" s="7" t="s">
        <v>2034</v>
      </c>
      <c r="M572" s="8">
        <v>141</v>
      </c>
      <c r="N572" s="7" t="s">
        <v>2035</v>
      </c>
      <c r="O572" s="7" t="s">
        <v>510</v>
      </c>
      <c r="P572" s="7" t="s">
        <v>2794</v>
      </c>
      <c r="Q572" s="8" t="s">
        <v>2795</v>
      </c>
      <c r="R572" s="7" t="s">
        <v>33</v>
      </c>
      <c r="S572" s="7" t="s">
        <v>34</v>
      </c>
      <c r="T572" s="10">
        <v>0</v>
      </c>
      <c r="U572" s="7"/>
      <c r="V572" s="10">
        <v>0</v>
      </c>
      <c r="W572" s="7"/>
      <c r="X572" s="10">
        <v>0</v>
      </c>
      <c r="Y572" s="7" t="s">
        <v>37</v>
      </c>
    </row>
    <row x14ac:dyDescent="0.25" r="573" customHeight="1" ht="18.75">
      <c r="A573" s="11">
        <v>74020704</v>
      </c>
      <c r="B573" s="12">
        <v>1665</v>
      </c>
      <c r="C573" s="13" t="s">
        <v>2796</v>
      </c>
      <c r="D573" s="13" t="s">
        <v>2797</v>
      </c>
      <c r="E573" s="14">
        <v>74020704</v>
      </c>
      <c r="F573" s="14">
        <v>1665</v>
      </c>
      <c r="G573" s="13" t="s">
        <v>27</v>
      </c>
      <c r="H573" s="13" t="s">
        <v>2798</v>
      </c>
      <c r="I573" s="13" t="s">
        <v>2799</v>
      </c>
      <c r="J573" s="14">
        <f>74952120000</f>
      </c>
      <c r="K573" s="14">
        <v>5562</v>
      </c>
      <c r="L573" s="13" t="s">
        <v>2034</v>
      </c>
      <c r="M573" s="14">
        <v>141</v>
      </c>
      <c r="N573" s="13" t="s">
        <v>2035</v>
      </c>
      <c r="O573" s="13" t="s">
        <v>510</v>
      </c>
      <c r="P573" s="13" t="s">
        <v>2743</v>
      </c>
      <c r="Q573" s="14" t="s">
        <v>2800</v>
      </c>
      <c r="R573" s="13" t="s">
        <v>33</v>
      </c>
      <c r="S573" s="13" t="s">
        <v>34</v>
      </c>
      <c r="T573" s="15">
        <v>0</v>
      </c>
      <c r="U573" s="13"/>
      <c r="V573" s="15">
        <v>0</v>
      </c>
      <c r="W573" s="13"/>
      <c r="X573" s="15">
        <v>0</v>
      </c>
      <c r="Y573" s="13" t="s">
        <v>126</v>
      </c>
    </row>
    <row x14ac:dyDescent="0.25" r="574" customHeight="1" ht="18.75">
      <c r="A574" s="5">
        <v>74020706</v>
      </c>
      <c r="B574" s="6">
        <v>1667</v>
      </c>
      <c r="C574" s="7" t="s">
        <v>2801</v>
      </c>
      <c r="D574" s="7" t="s">
        <v>2802</v>
      </c>
      <c r="E574" s="8">
        <v>74020706</v>
      </c>
      <c r="F574" s="8">
        <v>1667</v>
      </c>
      <c r="G574" s="7" t="s">
        <v>27</v>
      </c>
      <c r="H574" s="7" t="s">
        <v>2803</v>
      </c>
      <c r="I574" s="7" t="s">
        <v>2804</v>
      </c>
      <c r="J574" s="8">
        <f>74952120000</f>
      </c>
      <c r="K574" s="8">
        <v>5114</v>
      </c>
      <c r="L574" s="7" t="s">
        <v>2034</v>
      </c>
      <c r="M574" s="8">
        <v>141</v>
      </c>
      <c r="N574" s="7" t="s">
        <v>2035</v>
      </c>
      <c r="O574" s="7" t="s">
        <v>32</v>
      </c>
      <c r="P574" s="7" t="s">
        <v>32</v>
      </c>
      <c r="Q574" s="8" t="s">
        <v>2805</v>
      </c>
      <c r="R574" s="7" t="s">
        <v>33</v>
      </c>
      <c r="S574" s="7" t="s">
        <v>34</v>
      </c>
      <c r="T574" s="10">
        <v>0</v>
      </c>
      <c r="U574" s="7"/>
      <c r="V574" s="10">
        <v>0</v>
      </c>
      <c r="W574" s="7"/>
      <c r="X574" s="10">
        <v>0</v>
      </c>
      <c r="Y574" s="7" t="s">
        <v>59</v>
      </c>
    </row>
    <row x14ac:dyDescent="0.25" r="575" customHeight="1" ht="18.75">
      <c r="A575" s="11">
        <v>74020735</v>
      </c>
      <c r="B575" s="12">
        <v>1674</v>
      </c>
      <c r="C575" s="13" t="s">
        <v>2806</v>
      </c>
      <c r="D575" s="13" t="s">
        <v>2807</v>
      </c>
      <c r="E575" s="14">
        <v>74020735</v>
      </c>
      <c r="F575" s="14">
        <v>1674</v>
      </c>
      <c r="G575" s="13" t="s">
        <v>27</v>
      </c>
      <c r="H575" s="13" t="s">
        <v>2808</v>
      </c>
      <c r="I575" s="13" t="s">
        <v>2809</v>
      </c>
      <c r="J575" s="14">
        <f>74952120000</f>
      </c>
      <c r="K575" s="14">
        <v>5952</v>
      </c>
      <c r="L575" s="13" t="s">
        <v>2034</v>
      </c>
      <c r="M575" s="14">
        <v>141</v>
      </c>
      <c r="N575" s="13" t="s">
        <v>2035</v>
      </c>
      <c r="O575" s="13" t="s">
        <v>510</v>
      </c>
      <c r="P575" s="13" t="s">
        <v>2810</v>
      </c>
      <c r="Q575" s="14" t="s">
        <v>2811</v>
      </c>
      <c r="R575" s="13" t="s">
        <v>33</v>
      </c>
      <c r="S575" s="13" t="s">
        <v>34</v>
      </c>
      <c r="T575" s="15">
        <v>0</v>
      </c>
      <c r="U575" s="13"/>
      <c r="V575" s="15">
        <v>0</v>
      </c>
      <c r="W575" s="13"/>
      <c r="X575" s="15">
        <v>0</v>
      </c>
      <c r="Y575" s="13" t="s">
        <v>37</v>
      </c>
    </row>
    <row x14ac:dyDescent="0.25" r="576" customHeight="1" ht="18.75">
      <c r="A576" s="5">
        <v>74020811</v>
      </c>
      <c r="B576" s="6">
        <v>1694</v>
      </c>
      <c r="C576" s="7" t="s">
        <v>2812</v>
      </c>
      <c r="D576" s="7" t="s">
        <v>2813</v>
      </c>
      <c r="E576" s="8">
        <v>74020811</v>
      </c>
      <c r="F576" s="8">
        <v>1694</v>
      </c>
      <c r="G576" s="7" t="s">
        <v>27</v>
      </c>
      <c r="H576" s="7" t="s">
        <v>2814</v>
      </c>
      <c r="I576" s="7" t="s">
        <v>2815</v>
      </c>
      <c r="J576" s="8">
        <f>74952120000</f>
      </c>
      <c r="K576" s="8">
        <v>5759</v>
      </c>
      <c r="L576" s="7" t="s">
        <v>2034</v>
      </c>
      <c r="M576" s="8">
        <v>141</v>
      </c>
      <c r="N576" s="7" t="s">
        <v>2035</v>
      </c>
      <c r="O576" s="7" t="s">
        <v>510</v>
      </c>
      <c r="P576" s="7" t="s">
        <v>2779</v>
      </c>
      <c r="Q576" s="8" t="s">
        <v>2816</v>
      </c>
      <c r="R576" s="7" t="s">
        <v>33</v>
      </c>
      <c r="S576" s="7" t="s">
        <v>34</v>
      </c>
      <c r="T576" s="10">
        <v>0</v>
      </c>
      <c r="U576" s="7"/>
      <c r="V576" s="10">
        <v>0</v>
      </c>
      <c r="W576" s="7"/>
      <c r="X576" s="10">
        <v>0</v>
      </c>
      <c r="Y576" s="7" t="s">
        <v>59</v>
      </c>
    </row>
    <row x14ac:dyDescent="0.25" r="577" customHeight="1" ht="18.75">
      <c r="A577" s="11">
        <v>74020860</v>
      </c>
      <c r="B577" s="12">
        <v>1702</v>
      </c>
      <c r="C577" s="13" t="s">
        <v>2817</v>
      </c>
      <c r="D577" s="13" t="s">
        <v>2818</v>
      </c>
      <c r="E577" s="14">
        <v>74020860</v>
      </c>
      <c r="F577" s="14">
        <v>1702</v>
      </c>
      <c r="G577" s="13" t="s">
        <v>27</v>
      </c>
      <c r="H577" s="13" t="s">
        <v>2819</v>
      </c>
      <c r="I577" s="13" t="s">
        <v>2820</v>
      </c>
      <c r="J577" s="14">
        <f>74952120000</f>
      </c>
      <c r="K577" s="14">
        <v>5130</v>
      </c>
      <c r="L577" s="13" t="s">
        <v>2034</v>
      </c>
      <c r="M577" s="14">
        <v>141</v>
      </c>
      <c r="N577" s="13" t="s">
        <v>2035</v>
      </c>
      <c r="O577" s="13" t="s">
        <v>82</v>
      </c>
      <c r="P577" s="13" t="s">
        <v>1329</v>
      </c>
      <c r="Q577" s="14" t="s">
        <v>2821</v>
      </c>
      <c r="R577" s="13" t="s">
        <v>33</v>
      </c>
      <c r="S577" s="13" t="s">
        <v>34</v>
      </c>
      <c r="T577" s="15">
        <v>0</v>
      </c>
      <c r="U577" s="13"/>
      <c r="V577" s="15">
        <v>0</v>
      </c>
      <c r="W577" s="13"/>
      <c r="X577" s="15">
        <v>0</v>
      </c>
      <c r="Y577" s="13" t="s">
        <v>126</v>
      </c>
    </row>
    <row x14ac:dyDescent="0.25" r="578" customHeight="1" ht="18.75">
      <c r="A578" s="5">
        <v>74020876</v>
      </c>
      <c r="B578" s="6">
        <v>1705</v>
      </c>
      <c r="C578" s="7" t="s">
        <v>2822</v>
      </c>
      <c r="D578" s="7" t="s">
        <v>2823</v>
      </c>
      <c r="E578" s="8">
        <v>74020876</v>
      </c>
      <c r="F578" s="8">
        <v>1705</v>
      </c>
      <c r="G578" s="7" t="s">
        <v>27</v>
      </c>
      <c r="H578" s="7" t="s">
        <v>2824</v>
      </c>
      <c r="I578" s="7" t="s">
        <v>2825</v>
      </c>
      <c r="J578" s="8">
        <f>74952120000</f>
      </c>
      <c r="K578" s="8">
        <v>5110</v>
      </c>
      <c r="L578" s="7" t="s">
        <v>2034</v>
      </c>
      <c r="M578" s="8">
        <v>141</v>
      </c>
      <c r="N578" s="7" t="s">
        <v>2035</v>
      </c>
      <c r="O578" s="7" t="s">
        <v>32</v>
      </c>
      <c r="P578" s="7" t="s">
        <v>32</v>
      </c>
      <c r="Q578" s="8" t="s">
        <v>2826</v>
      </c>
      <c r="R578" s="7" t="s">
        <v>33</v>
      </c>
      <c r="S578" s="7" t="s">
        <v>34</v>
      </c>
      <c r="T578" s="10">
        <v>0</v>
      </c>
      <c r="U578" s="7"/>
      <c r="V578" s="10">
        <v>0</v>
      </c>
      <c r="W578" s="7"/>
      <c r="X578" s="10">
        <v>0</v>
      </c>
      <c r="Y578" s="7" t="s">
        <v>59</v>
      </c>
    </row>
    <row x14ac:dyDescent="0.25" r="579" customHeight="1" ht="18.75">
      <c r="A579" s="11">
        <v>74020906</v>
      </c>
      <c r="B579" s="12">
        <v>1712</v>
      </c>
      <c r="C579" s="13" t="s">
        <v>2827</v>
      </c>
      <c r="D579" s="13" t="s">
        <v>2828</v>
      </c>
      <c r="E579" s="14">
        <v>74020906</v>
      </c>
      <c r="F579" s="14">
        <v>1712</v>
      </c>
      <c r="G579" s="13" t="s">
        <v>27</v>
      </c>
      <c r="H579" s="13" t="s">
        <v>2829</v>
      </c>
      <c r="I579" s="13" t="s">
        <v>2830</v>
      </c>
      <c r="J579" s="14">
        <f>74952120000</f>
      </c>
      <c r="K579" s="14">
        <v>5962</v>
      </c>
      <c r="L579" s="13" t="s">
        <v>2034</v>
      </c>
      <c r="M579" s="14">
        <v>141</v>
      </c>
      <c r="N579" s="13" t="s">
        <v>2035</v>
      </c>
      <c r="O579" s="13" t="s">
        <v>510</v>
      </c>
      <c r="P579" s="13" t="s">
        <v>2831</v>
      </c>
      <c r="Q579" s="14" t="s">
        <v>2832</v>
      </c>
      <c r="R579" s="13" t="s">
        <v>33</v>
      </c>
      <c r="S579" s="13" t="s">
        <v>34</v>
      </c>
      <c r="T579" s="15">
        <v>0</v>
      </c>
      <c r="U579" s="13"/>
      <c r="V579" s="15">
        <v>0</v>
      </c>
      <c r="W579" s="13"/>
      <c r="X579" s="15">
        <v>0</v>
      </c>
      <c r="Y579" s="13" t="s">
        <v>59</v>
      </c>
    </row>
    <row x14ac:dyDescent="0.25" r="580" customHeight="1" ht="18.75">
      <c r="A580" s="5">
        <v>74020908</v>
      </c>
      <c r="B580" s="6">
        <v>1716</v>
      </c>
      <c r="C580" s="7" t="s">
        <v>2833</v>
      </c>
      <c r="D580" s="7" t="s">
        <v>2834</v>
      </c>
      <c r="E580" s="8">
        <v>74020908</v>
      </c>
      <c r="F580" s="8">
        <v>1716</v>
      </c>
      <c r="G580" s="7" t="s">
        <v>27</v>
      </c>
      <c r="H580" s="7" t="s">
        <v>2835</v>
      </c>
      <c r="I580" s="7" t="s">
        <v>2836</v>
      </c>
      <c r="J580" s="8">
        <f>74952120000</f>
      </c>
      <c r="K580" s="8">
        <v>5165</v>
      </c>
      <c r="L580" s="7" t="s">
        <v>2034</v>
      </c>
      <c r="M580" s="8">
        <v>141</v>
      </c>
      <c r="N580" s="7" t="s">
        <v>2035</v>
      </c>
      <c r="O580" s="7" t="s">
        <v>82</v>
      </c>
      <c r="P580" s="7" t="s">
        <v>2837</v>
      </c>
      <c r="Q580" s="8" t="s">
        <v>2838</v>
      </c>
      <c r="R580" s="7" t="s">
        <v>33</v>
      </c>
      <c r="S580" s="7" t="s">
        <v>34</v>
      </c>
      <c r="T580" s="10">
        <v>0</v>
      </c>
      <c r="U580" s="7"/>
      <c r="V580" s="10">
        <v>0</v>
      </c>
      <c r="W580" s="7"/>
      <c r="X580" s="10">
        <v>0</v>
      </c>
      <c r="Y580" s="7" t="s">
        <v>37</v>
      </c>
    </row>
    <row x14ac:dyDescent="0.25" r="581" customHeight="1" ht="18.75">
      <c r="A581" s="11">
        <v>74021058</v>
      </c>
      <c r="B581" s="12">
        <v>1752</v>
      </c>
      <c r="C581" s="13" t="s">
        <v>2839</v>
      </c>
      <c r="D581" s="13" t="s">
        <v>2840</v>
      </c>
      <c r="E581" s="14">
        <v>74021058</v>
      </c>
      <c r="F581" s="14">
        <v>1752</v>
      </c>
      <c r="G581" s="13" t="s">
        <v>27</v>
      </c>
      <c r="H581" s="13" t="s">
        <v>2841</v>
      </c>
      <c r="I581" s="13" t="s">
        <v>2842</v>
      </c>
      <c r="J581" s="14">
        <f>73422563060</f>
      </c>
      <c r="K581" s="9"/>
      <c r="L581" s="13" t="s">
        <v>42</v>
      </c>
      <c r="M581" s="14">
        <v>86</v>
      </c>
      <c r="N581" s="13" t="s">
        <v>977</v>
      </c>
      <c r="O581" s="13" t="s">
        <v>96</v>
      </c>
      <c r="P581" s="13" t="s">
        <v>978</v>
      </c>
      <c r="Q581" s="14" t="s">
        <v>2843</v>
      </c>
      <c r="R581" s="13" t="s">
        <v>33</v>
      </c>
      <c r="S581" s="13" t="s">
        <v>34</v>
      </c>
      <c r="T581" s="15">
        <v>0</v>
      </c>
      <c r="U581" s="13" t="s">
        <v>48</v>
      </c>
      <c r="V581" s="15" t="s">
        <v>214</v>
      </c>
      <c r="W581" s="13" t="s">
        <v>48</v>
      </c>
      <c r="X581" s="15" t="s">
        <v>36</v>
      </c>
      <c r="Y581" s="13" t="s">
        <v>37</v>
      </c>
    </row>
    <row x14ac:dyDescent="0.25" r="582" customHeight="1" ht="18.75">
      <c r="A582" s="5">
        <v>74021064</v>
      </c>
      <c r="B582" s="6">
        <v>1753</v>
      </c>
      <c r="C582" s="7" t="s">
        <v>2844</v>
      </c>
      <c r="D582" s="7" t="s">
        <v>2845</v>
      </c>
      <c r="E582" s="8">
        <v>74021064</v>
      </c>
      <c r="F582" s="8">
        <v>1753</v>
      </c>
      <c r="G582" s="7" t="s">
        <v>27</v>
      </c>
      <c r="H582" s="7" t="s">
        <v>2846</v>
      </c>
      <c r="I582" s="7" t="s">
        <v>2847</v>
      </c>
      <c r="J582" s="8">
        <f>74952120000</f>
      </c>
      <c r="K582" s="8">
        <v>5964</v>
      </c>
      <c r="L582" s="7" t="s">
        <v>2034</v>
      </c>
      <c r="M582" s="8">
        <v>141</v>
      </c>
      <c r="N582" s="7" t="s">
        <v>2035</v>
      </c>
      <c r="O582" s="7" t="s">
        <v>82</v>
      </c>
      <c r="P582" s="7" t="s">
        <v>2848</v>
      </c>
      <c r="Q582" s="8" t="s">
        <v>2849</v>
      </c>
      <c r="R582" s="7" t="s">
        <v>33</v>
      </c>
      <c r="S582" s="7" t="s">
        <v>34</v>
      </c>
      <c r="T582" s="10">
        <v>0</v>
      </c>
      <c r="U582" s="7"/>
      <c r="V582" s="10">
        <v>0</v>
      </c>
      <c r="W582" s="7"/>
      <c r="X582" s="10">
        <v>0</v>
      </c>
      <c r="Y582" s="7" t="s">
        <v>37</v>
      </c>
    </row>
    <row x14ac:dyDescent="0.25" r="583" customHeight="1" ht="18.75">
      <c r="A583" s="11">
        <v>74021081</v>
      </c>
      <c r="B583" s="12">
        <v>1761</v>
      </c>
      <c r="C583" s="13" t="s">
        <v>2850</v>
      </c>
      <c r="D583" s="13" t="s">
        <v>2851</v>
      </c>
      <c r="E583" s="14">
        <v>74021081</v>
      </c>
      <c r="F583" s="14">
        <v>1761</v>
      </c>
      <c r="G583" s="13" t="s">
        <v>27</v>
      </c>
      <c r="H583" s="13" t="s">
        <v>2852</v>
      </c>
      <c r="I583" s="13" t="s">
        <v>2853</v>
      </c>
      <c r="J583" s="14">
        <f>74952120000</f>
      </c>
      <c r="K583" s="14">
        <v>5960</v>
      </c>
      <c r="L583" s="13" t="s">
        <v>2034</v>
      </c>
      <c r="M583" s="14">
        <v>141</v>
      </c>
      <c r="N583" s="13" t="s">
        <v>2035</v>
      </c>
      <c r="O583" s="13" t="s">
        <v>32</v>
      </c>
      <c r="P583" s="13" t="s">
        <v>32</v>
      </c>
      <c r="Q583" s="14" t="s">
        <v>2854</v>
      </c>
      <c r="R583" s="13" t="s">
        <v>33</v>
      </c>
      <c r="S583" s="13" t="s">
        <v>34</v>
      </c>
      <c r="T583" s="15">
        <v>0</v>
      </c>
      <c r="U583" s="13"/>
      <c r="V583" s="15">
        <v>0</v>
      </c>
      <c r="W583" s="13"/>
      <c r="X583" s="15">
        <v>0</v>
      </c>
      <c r="Y583" s="13" t="s">
        <v>59</v>
      </c>
    </row>
    <row x14ac:dyDescent="0.25" r="584" customHeight="1" ht="18.75">
      <c r="A584" s="5">
        <v>74021137</v>
      </c>
      <c r="B584" s="6">
        <v>1763</v>
      </c>
      <c r="C584" s="7" t="s">
        <v>2855</v>
      </c>
      <c r="D584" s="7" t="s">
        <v>2856</v>
      </c>
      <c r="E584" s="8">
        <v>74021137</v>
      </c>
      <c r="F584" s="8">
        <v>1763</v>
      </c>
      <c r="G584" s="7" t="s">
        <v>27</v>
      </c>
      <c r="H584" s="7" t="s">
        <v>2857</v>
      </c>
      <c r="I584" s="7" t="s">
        <v>2858</v>
      </c>
      <c r="J584" s="8">
        <f>74952120000</f>
      </c>
      <c r="K584" s="8">
        <v>5978</v>
      </c>
      <c r="L584" s="7" t="s">
        <v>2034</v>
      </c>
      <c r="M584" s="8">
        <v>141</v>
      </c>
      <c r="N584" s="7" t="s">
        <v>2035</v>
      </c>
      <c r="O584" s="7" t="s">
        <v>82</v>
      </c>
      <c r="P584" s="7" t="s">
        <v>2859</v>
      </c>
      <c r="Q584" s="8" t="s">
        <v>2860</v>
      </c>
      <c r="R584" s="7" t="s">
        <v>33</v>
      </c>
      <c r="S584" s="7" t="s">
        <v>34</v>
      </c>
      <c r="T584" s="10">
        <v>0</v>
      </c>
      <c r="U584" s="7"/>
      <c r="V584" s="10">
        <v>0</v>
      </c>
      <c r="W584" s="7"/>
      <c r="X584" s="10">
        <v>0</v>
      </c>
      <c r="Y584" s="7" t="s">
        <v>37</v>
      </c>
    </row>
    <row x14ac:dyDescent="0.25" r="585" customHeight="1" ht="18.75">
      <c r="A585" s="11">
        <v>74021140</v>
      </c>
      <c r="B585" s="12">
        <v>1765</v>
      </c>
      <c r="C585" s="13" t="s">
        <v>2861</v>
      </c>
      <c r="D585" s="13" t="s">
        <v>2862</v>
      </c>
      <c r="E585" s="14">
        <v>74021140</v>
      </c>
      <c r="F585" s="14">
        <v>1765</v>
      </c>
      <c r="G585" s="13" t="s">
        <v>27</v>
      </c>
      <c r="H585" s="13" t="s">
        <v>2863</v>
      </c>
      <c r="I585" s="13" t="s">
        <v>2864</v>
      </c>
      <c r="J585" s="14">
        <f>74999638189</f>
      </c>
      <c r="K585" s="9"/>
      <c r="L585" s="13" t="s">
        <v>388</v>
      </c>
      <c r="M585" s="14">
        <v>245</v>
      </c>
      <c r="N585" s="13" t="s">
        <v>389</v>
      </c>
      <c r="O585" s="13" t="s">
        <v>32</v>
      </c>
      <c r="P585" s="13" t="s">
        <v>32</v>
      </c>
      <c r="Q585" s="14" t="s">
        <v>2865</v>
      </c>
      <c r="R585" s="13" t="s">
        <v>33</v>
      </c>
      <c r="S585" s="13" t="s">
        <v>34</v>
      </c>
      <c r="T585" s="15">
        <v>0</v>
      </c>
      <c r="U585" s="13"/>
      <c r="V585" s="15">
        <v>0</v>
      </c>
      <c r="W585" s="13" t="s">
        <v>48</v>
      </c>
      <c r="X585" s="15" t="s">
        <v>36</v>
      </c>
      <c r="Y585" s="13" t="s">
        <v>37</v>
      </c>
    </row>
    <row x14ac:dyDescent="0.25" r="586" customHeight="1" ht="18.75">
      <c r="A586" s="5">
        <v>74021154</v>
      </c>
      <c r="B586" s="6">
        <v>1768</v>
      </c>
      <c r="C586" s="7" t="s">
        <v>2866</v>
      </c>
      <c r="D586" s="7" t="s">
        <v>2867</v>
      </c>
      <c r="E586" s="8">
        <v>74021154</v>
      </c>
      <c r="F586" s="8">
        <v>1768</v>
      </c>
      <c r="G586" s="7" t="s">
        <v>27</v>
      </c>
      <c r="H586" s="7" t="s">
        <v>2868</v>
      </c>
      <c r="I586" s="7" t="s">
        <v>2869</v>
      </c>
      <c r="J586" s="8">
        <f>74952120000</f>
      </c>
      <c r="K586" s="8">
        <v>5954</v>
      </c>
      <c r="L586" s="7" t="s">
        <v>2034</v>
      </c>
      <c r="M586" s="8">
        <v>141</v>
      </c>
      <c r="N586" s="7" t="s">
        <v>2035</v>
      </c>
      <c r="O586" s="7" t="s">
        <v>510</v>
      </c>
      <c r="P586" s="7" t="s">
        <v>2870</v>
      </c>
      <c r="Q586" s="8" t="s">
        <v>2871</v>
      </c>
      <c r="R586" s="7" t="s">
        <v>33</v>
      </c>
      <c r="S586" s="7" t="s">
        <v>34</v>
      </c>
      <c r="T586" s="10">
        <v>0</v>
      </c>
      <c r="U586" s="7"/>
      <c r="V586" s="10">
        <v>0</v>
      </c>
      <c r="W586" s="7"/>
      <c r="X586" s="10">
        <v>0</v>
      </c>
      <c r="Y586" s="7" t="s">
        <v>59</v>
      </c>
    </row>
    <row x14ac:dyDescent="0.25" r="587" customHeight="1" ht="18.75">
      <c r="A587" s="11">
        <v>74220384</v>
      </c>
      <c r="B587" s="12">
        <v>1770</v>
      </c>
      <c r="C587" s="13" t="s">
        <v>2872</v>
      </c>
      <c r="D587" s="13" t="s">
        <v>2873</v>
      </c>
      <c r="E587" s="14">
        <v>74320384</v>
      </c>
      <c r="F587" s="14">
        <v>1770</v>
      </c>
      <c r="G587" s="13" t="s">
        <v>27</v>
      </c>
      <c r="H587" s="13" t="s">
        <v>2874</v>
      </c>
      <c r="I587" s="13" t="s">
        <v>2875</v>
      </c>
      <c r="J587" s="14">
        <f>74952408424</f>
      </c>
      <c r="K587" s="14">
        <v>6514</v>
      </c>
      <c r="L587" s="13" t="s">
        <v>1276</v>
      </c>
      <c r="M587" s="14">
        <v>105</v>
      </c>
      <c r="N587" s="13" t="s">
        <v>1277</v>
      </c>
      <c r="O587" s="13" t="s">
        <v>44</v>
      </c>
      <c r="P587" s="13" t="s">
        <v>2876</v>
      </c>
      <c r="Q587" s="14" t="s">
        <v>58</v>
      </c>
      <c r="R587" s="13" t="s">
        <v>33</v>
      </c>
      <c r="S587" s="13" t="s">
        <v>34</v>
      </c>
      <c r="T587" s="15">
        <v>0</v>
      </c>
      <c r="U587" s="13"/>
      <c r="V587" s="15">
        <v>0</v>
      </c>
      <c r="W587" s="13" t="s">
        <v>48</v>
      </c>
      <c r="X587" s="15" t="s">
        <v>65</v>
      </c>
      <c r="Y587" s="13" t="s">
        <v>59</v>
      </c>
    </row>
    <row x14ac:dyDescent="0.25" r="588" customHeight="1" ht="18.75">
      <c r="A588" s="5">
        <v>74213287</v>
      </c>
      <c r="B588" s="6">
        <v>1771</v>
      </c>
      <c r="C588" s="7" t="s">
        <v>2877</v>
      </c>
      <c r="D588" s="7" t="s">
        <v>2878</v>
      </c>
      <c r="E588" s="8">
        <v>74313287</v>
      </c>
      <c r="F588" s="8">
        <v>1771</v>
      </c>
      <c r="G588" s="7" t="s">
        <v>27</v>
      </c>
      <c r="H588" s="7" t="s">
        <v>2879</v>
      </c>
      <c r="I588" s="7" t="s">
        <v>2880</v>
      </c>
      <c r="J588" s="8">
        <f>74952408424</f>
      </c>
      <c r="K588" s="8">
        <v>6402</v>
      </c>
      <c r="L588" s="7" t="s">
        <v>1276</v>
      </c>
      <c r="M588" s="8">
        <v>105</v>
      </c>
      <c r="N588" s="7" t="s">
        <v>1277</v>
      </c>
      <c r="O588" s="7" t="s">
        <v>73</v>
      </c>
      <c r="P588" s="7" t="s">
        <v>2181</v>
      </c>
      <c r="Q588" s="8" t="s">
        <v>182</v>
      </c>
      <c r="R588" s="7" t="s">
        <v>33</v>
      </c>
      <c r="S588" s="7" t="s">
        <v>34</v>
      </c>
      <c r="T588" s="10">
        <v>0</v>
      </c>
      <c r="U588" s="7" t="s">
        <v>48</v>
      </c>
      <c r="V588" s="10" t="s">
        <v>125</v>
      </c>
      <c r="W588" s="7" t="s">
        <v>35</v>
      </c>
      <c r="X588" s="10" t="s">
        <v>36</v>
      </c>
      <c r="Y588" s="7" t="s">
        <v>37</v>
      </c>
    </row>
    <row x14ac:dyDescent="0.25" r="589" customHeight="1" ht="18.75">
      <c r="A589" s="11">
        <v>74213288</v>
      </c>
      <c r="B589" s="12">
        <v>1772</v>
      </c>
      <c r="C589" s="13" t="s">
        <v>2881</v>
      </c>
      <c r="D589" s="13" t="s">
        <v>2882</v>
      </c>
      <c r="E589" s="14">
        <v>74313288</v>
      </c>
      <c r="F589" s="14">
        <v>1772</v>
      </c>
      <c r="G589" s="13" t="s">
        <v>27</v>
      </c>
      <c r="H589" s="13" t="s">
        <v>2883</v>
      </c>
      <c r="I589" s="13" t="s">
        <v>2884</v>
      </c>
      <c r="J589" s="14">
        <f>74952408424</f>
      </c>
      <c r="K589" s="14">
        <v>9404</v>
      </c>
      <c r="L589" s="13" t="s">
        <v>1276</v>
      </c>
      <c r="M589" s="14">
        <v>105</v>
      </c>
      <c r="N589" s="13" t="s">
        <v>1277</v>
      </c>
      <c r="O589" s="13" t="s">
        <v>73</v>
      </c>
      <c r="P589" s="13" t="s">
        <v>2181</v>
      </c>
      <c r="Q589" s="14" t="s">
        <v>182</v>
      </c>
      <c r="R589" s="13" t="s">
        <v>33</v>
      </c>
      <c r="S589" s="13" t="s">
        <v>34</v>
      </c>
      <c r="T589" s="15">
        <v>0</v>
      </c>
      <c r="U589" s="13" t="s">
        <v>48</v>
      </c>
      <c r="V589" s="15" t="s">
        <v>214</v>
      </c>
      <c r="W589" s="13" t="s">
        <v>48</v>
      </c>
      <c r="X589" s="15" t="s">
        <v>36</v>
      </c>
      <c r="Y589" s="13" t="s">
        <v>37</v>
      </c>
    </row>
    <row x14ac:dyDescent="0.25" r="590" customHeight="1" ht="18.75">
      <c r="A590" s="5">
        <v>74213284</v>
      </c>
      <c r="B590" s="6">
        <v>1773</v>
      </c>
      <c r="C590" s="7" t="s">
        <v>2885</v>
      </c>
      <c r="D590" s="7" t="s">
        <v>2886</v>
      </c>
      <c r="E590" s="8">
        <v>74313284</v>
      </c>
      <c r="F590" s="8">
        <v>1773</v>
      </c>
      <c r="G590" s="7" t="s">
        <v>27</v>
      </c>
      <c r="H590" s="7" t="s">
        <v>2887</v>
      </c>
      <c r="I590" s="7" t="s">
        <v>2888</v>
      </c>
      <c r="J590" s="8">
        <f>74952408424</f>
      </c>
      <c r="K590" s="8">
        <v>6352</v>
      </c>
      <c r="L590" s="7" t="s">
        <v>1276</v>
      </c>
      <c r="M590" s="8">
        <v>105</v>
      </c>
      <c r="N590" s="7" t="s">
        <v>1277</v>
      </c>
      <c r="O590" s="7" t="s">
        <v>73</v>
      </c>
      <c r="P590" s="7" t="s">
        <v>1532</v>
      </c>
      <c r="Q590" s="8" t="s">
        <v>1533</v>
      </c>
      <c r="R590" s="7" t="s">
        <v>33</v>
      </c>
      <c r="S590" s="7" t="s">
        <v>34</v>
      </c>
      <c r="T590" s="10">
        <v>0</v>
      </c>
      <c r="U590" s="7" t="s">
        <v>48</v>
      </c>
      <c r="V590" s="10" t="s">
        <v>64</v>
      </c>
      <c r="W590" s="7" t="s">
        <v>48</v>
      </c>
      <c r="X590" s="10" t="s">
        <v>65</v>
      </c>
      <c r="Y590" s="7" t="s">
        <v>37</v>
      </c>
    </row>
    <row x14ac:dyDescent="0.25" r="591" customHeight="1" ht="18.75">
      <c r="A591" s="11">
        <v>74213285</v>
      </c>
      <c r="B591" s="12">
        <v>1774</v>
      </c>
      <c r="C591" s="13" t="s">
        <v>2889</v>
      </c>
      <c r="D591" s="13" t="s">
        <v>2890</v>
      </c>
      <c r="E591" s="14">
        <v>74313285</v>
      </c>
      <c r="F591" s="14">
        <v>1774</v>
      </c>
      <c r="G591" s="13" t="s">
        <v>27</v>
      </c>
      <c r="H591" s="13" t="s">
        <v>2891</v>
      </c>
      <c r="I591" s="13" t="s">
        <v>2892</v>
      </c>
      <c r="J591" s="14">
        <f>74952408424</f>
      </c>
      <c r="K591" s="14">
        <v>6354</v>
      </c>
      <c r="L591" s="13" t="s">
        <v>1276</v>
      </c>
      <c r="M591" s="14">
        <v>105</v>
      </c>
      <c r="N591" s="13" t="s">
        <v>1277</v>
      </c>
      <c r="O591" s="13" t="s">
        <v>73</v>
      </c>
      <c r="P591" s="13" t="s">
        <v>1532</v>
      </c>
      <c r="Q591" s="14" t="s">
        <v>1533</v>
      </c>
      <c r="R591" s="13" t="s">
        <v>33</v>
      </c>
      <c r="S591" s="13" t="s">
        <v>34</v>
      </c>
      <c r="T591" s="15">
        <v>0</v>
      </c>
      <c r="U591" s="13"/>
      <c r="V591" s="15">
        <v>0</v>
      </c>
      <c r="W591" s="13" t="s">
        <v>48</v>
      </c>
      <c r="X591" s="15" t="s">
        <v>65</v>
      </c>
      <c r="Y591" s="13" t="s">
        <v>37</v>
      </c>
    </row>
    <row x14ac:dyDescent="0.25" r="592" customHeight="1" ht="18.75">
      <c r="A592" s="5">
        <v>74216195</v>
      </c>
      <c r="B592" s="6">
        <v>1775</v>
      </c>
      <c r="C592" s="7" t="s">
        <v>2893</v>
      </c>
      <c r="D592" s="7" t="s">
        <v>2894</v>
      </c>
      <c r="E592" s="8">
        <v>74316195</v>
      </c>
      <c r="F592" s="8">
        <v>1775</v>
      </c>
      <c r="G592" s="7" t="s">
        <v>27</v>
      </c>
      <c r="H592" s="7" t="s">
        <v>2895</v>
      </c>
      <c r="I592" s="7" t="s">
        <v>2896</v>
      </c>
      <c r="J592" s="8">
        <f>74952408424</f>
      </c>
      <c r="K592" s="8">
        <v>6036</v>
      </c>
      <c r="L592" s="7" t="s">
        <v>1276</v>
      </c>
      <c r="M592" s="8">
        <v>105</v>
      </c>
      <c r="N592" s="7" t="s">
        <v>1277</v>
      </c>
      <c r="O592" s="7" t="s">
        <v>82</v>
      </c>
      <c r="P592" s="7" t="s">
        <v>2897</v>
      </c>
      <c r="Q592" s="8" t="s">
        <v>58</v>
      </c>
      <c r="R592" s="7" t="s">
        <v>33</v>
      </c>
      <c r="S592" s="7" t="s">
        <v>34</v>
      </c>
      <c r="T592" s="10">
        <v>0</v>
      </c>
      <c r="U592" s="7"/>
      <c r="V592" s="10">
        <v>0</v>
      </c>
      <c r="W592" s="7" t="s">
        <v>48</v>
      </c>
      <c r="X592" s="10" t="s">
        <v>65</v>
      </c>
      <c r="Y592" s="7" t="s">
        <v>37</v>
      </c>
    </row>
    <row x14ac:dyDescent="0.25" r="593" customHeight="1" ht="18.75">
      <c r="A593" s="11">
        <v>74213274</v>
      </c>
      <c r="B593" s="12">
        <v>1776</v>
      </c>
      <c r="C593" s="13" t="s">
        <v>2898</v>
      </c>
      <c r="D593" s="13" t="s">
        <v>2899</v>
      </c>
      <c r="E593" s="14">
        <v>74313274</v>
      </c>
      <c r="F593" s="14">
        <v>1776</v>
      </c>
      <c r="G593" s="13" t="s">
        <v>27</v>
      </c>
      <c r="H593" s="13" t="s">
        <v>2900</v>
      </c>
      <c r="I593" s="13" t="s">
        <v>2901</v>
      </c>
      <c r="J593" s="14">
        <f>74952408424</f>
      </c>
      <c r="K593" s="14">
        <v>6008</v>
      </c>
      <c r="L593" s="13" t="s">
        <v>1276</v>
      </c>
      <c r="M593" s="14">
        <v>105</v>
      </c>
      <c r="N593" s="13" t="s">
        <v>1277</v>
      </c>
      <c r="O593" s="13" t="s">
        <v>82</v>
      </c>
      <c r="P593" s="13" t="s">
        <v>2902</v>
      </c>
      <c r="Q593" s="14" t="s">
        <v>58</v>
      </c>
      <c r="R593" s="13" t="s">
        <v>33</v>
      </c>
      <c r="S593" s="13" t="s">
        <v>34</v>
      </c>
      <c r="T593" s="15">
        <v>0</v>
      </c>
      <c r="U593" s="13"/>
      <c r="V593" s="15">
        <v>0</v>
      </c>
      <c r="W593" s="13" t="s">
        <v>35</v>
      </c>
      <c r="X593" s="15" t="s">
        <v>36</v>
      </c>
      <c r="Y593" s="13" t="s">
        <v>37</v>
      </c>
    </row>
    <row x14ac:dyDescent="0.25" r="594" customHeight="1" ht="18.75">
      <c r="A594" s="5">
        <v>74213275</v>
      </c>
      <c r="B594" s="6">
        <v>1777</v>
      </c>
      <c r="C594" s="7" t="s">
        <v>2903</v>
      </c>
      <c r="D594" s="7" t="s">
        <v>2904</v>
      </c>
      <c r="E594" s="8">
        <v>74313275</v>
      </c>
      <c r="F594" s="8">
        <v>1777</v>
      </c>
      <c r="G594" s="7" t="s">
        <v>27</v>
      </c>
      <c r="H594" s="7" t="s">
        <v>2905</v>
      </c>
      <c r="I594" s="7" t="s">
        <v>2906</v>
      </c>
      <c r="J594" s="8">
        <f>74952408424</f>
      </c>
      <c r="K594" s="8">
        <v>6010</v>
      </c>
      <c r="L594" s="7" t="s">
        <v>1276</v>
      </c>
      <c r="M594" s="8">
        <v>105</v>
      </c>
      <c r="N594" s="7" t="s">
        <v>1277</v>
      </c>
      <c r="O594" s="7" t="s">
        <v>82</v>
      </c>
      <c r="P594" s="7" t="s">
        <v>2907</v>
      </c>
      <c r="Q594" s="8" t="s">
        <v>58</v>
      </c>
      <c r="R594" s="7" t="s">
        <v>33</v>
      </c>
      <c r="S594" s="7" t="s">
        <v>34</v>
      </c>
      <c r="T594" s="10">
        <v>0</v>
      </c>
      <c r="U594" s="7" t="s">
        <v>48</v>
      </c>
      <c r="V594" s="10" t="s">
        <v>125</v>
      </c>
      <c r="W594" s="7" t="s">
        <v>35</v>
      </c>
      <c r="X594" s="10" t="s">
        <v>36</v>
      </c>
      <c r="Y594" s="7" t="s">
        <v>59</v>
      </c>
    </row>
    <row x14ac:dyDescent="0.25" r="595" customHeight="1" ht="18.75">
      <c r="A595" s="11">
        <v>74213289</v>
      </c>
      <c r="B595" s="12">
        <v>1778</v>
      </c>
      <c r="C595" s="13" t="s">
        <v>2908</v>
      </c>
      <c r="D595" s="13" t="s">
        <v>2909</v>
      </c>
      <c r="E595" s="14">
        <v>74313289</v>
      </c>
      <c r="F595" s="14">
        <v>1778</v>
      </c>
      <c r="G595" s="13" t="s">
        <v>27</v>
      </c>
      <c r="H595" s="13" t="s">
        <v>2910</v>
      </c>
      <c r="I595" s="13" t="s">
        <v>2911</v>
      </c>
      <c r="J595" s="14">
        <f>74952408424</f>
      </c>
      <c r="K595" s="14">
        <v>6406</v>
      </c>
      <c r="L595" s="13" t="s">
        <v>1276</v>
      </c>
      <c r="M595" s="14">
        <v>105</v>
      </c>
      <c r="N595" s="13" t="s">
        <v>1277</v>
      </c>
      <c r="O595" s="13" t="s">
        <v>73</v>
      </c>
      <c r="P595" s="13" t="s">
        <v>2181</v>
      </c>
      <c r="Q595" s="14" t="s">
        <v>182</v>
      </c>
      <c r="R595" s="13" t="s">
        <v>33</v>
      </c>
      <c r="S595" s="13" t="s">
        <v>34</v>
      </c>
      <c r="T595" s="15">
        <v>0</v>
      </c>
      <c r="U595" s="13" t="s">
        <v>35</v>
      </c>
      <c r="V595" s="15" t="s">
        <v>125</v>
      </c>
      <c r="W595" s="13" t="s">
        <v>48</v>
      </c>
      <c r="X595" s="15" t="s">
        <v>36</v>
      </c>
      <c r="Y595" s="13" t="s">
        <v>59</v>
      </c>
    </row>
    <row x14ac:dyDescent="0.25" r="596" customHeight="1" ht="18.75">
      <c r="A596" s="5">
        <v>74213276</v>
      </c>
      <c r="B596" s="6">
        <v>1779</v>
      </c>
      <c r="C596" s="7" t="s">
        <v>2912</v>
      </c>
      <c r="D596" s="7" t="s">
        <v>2913</v>
      </c>
      <c r="E596" s="8">
        <v>74313276</v>
      </c>
      <c r="F596" s="8">
        <v>1779</v>
      </c>
      <c r="G596" s="7" t="s">
        <v>27</v>
      </c>
      <c r="H596" s="7" t="s">
        <v>2914</v>
      </c>
      <c r="I596" s="7" t="s">
        <v>2915</v>
      </c>
      <c r="J596" s="8">
        <f>74952408424</f>
      </c>
      <c r="K596" s="8">
        <v>6012</v>
      </c>
      <c r="L596" s="7" t="s">
        <v>1276</v>
      </c>
      <c r="M596" s="8">
        <v>105</v>
      </c>
      <c r="N596" s="7" t="s">
        <v>1277</v>
      </c>
      <c r="O596" s="7" t="s">
        <v>82</v>
      </c>
      <c r="P596" s="7" t="s">
        <v>651</v>
      </c>
      <c r="Q596" s="8" t="s">
        <v>58</v>
      </c>
      <c r="R596" s="7" t="s">
        <v>33</v>
      </c>
      <c r="S596" s="7" t="s">
        <v>34</v>
      </c>
      <c r="T596" s="10">
        <v>0</v>
      </c>
      <c r="U596" s="7" t="s">
        <v>48</v>
      </c>
      <c r="V596" s="10" t="s">
        <v>64</v>
      </c>
      <c r="W596" s="7" t="s">
        <v>48</v>
      </c>
      <c r="X596" s="10" t="s">
        <v>65</v>
      </c>
      <c r="Y596" s="7" t="s">
        <v>37</v>
      </c>
    </row>
    <row x14ac:dyDescent="0.25" r="597" customHeight="1" ht="18.75">
      <c r="A597" s="11">
        <v>74213277</v>
      </c>
      <c r="B597" s="12">
        <v>1780</v>
      </c>
      <c r="C597" s="13" t="s">
        <v>2916</v>
      </c>
      <c r="D597" s="13" t="s">
        <v>2917</v>
      </c>
      <c r="E597" s="14">
        <v>74313277</v>
      </c>
      <c r="F597" s="14">
        <v>1780</v>
      </c>
      <c r="G597" s="13" t="s">
        <v>27</v>
      </c>
      <c r="H597" s="13" t="s">
        <v>2918</v>
      </c>
      <c r="I597" s="13" t="s">
        <v>2919</v>
      </c>
      <c r="J597" s="14">
        <f>74952408424</f>
      </c>
      <c r="K597" s="14">
        <v>6014</v>
      </c>
      <c r="L597" s="13" t="s">
        <v>1276</v>
      </c>
      <c r="M597" s="14">
        <v>105</v>
      </c>
      <c r="N597" s="13" t="s">
        <v>1277</v>
      </c>
      <c r="O597" s="13" t="s">
        <v>32</v>
      </c>
      <c r="P597" s="13" t="s">
        <v>32</v>
      </c>
      <c r="Q597" s="14" t="s">
        <v>58</v>
      </c>
      <c r="R597" s="13" t="s">
        <v>33</v>
      </c>
      <c r="S597" s="13" t="s">
        <v>34</v>
      </c>
      <c r="T597" s="15">
        <v>0</v>
      </c>
      <c r="U597" s="13" t="s">
        <v>48</v>
      </c>
      <c r="V597" s="15" t="s">
        <v>125</v>
      </c>
      <c r="W597" s="13" t="s">
        <v>35</v>
      </c>
      <c r="X597" s="15" t="s">
        <v>36</v>
      </c>
      <c r="Y597" s="13" t="s">
        <v>59</v>
      </c>
    </row>
    <row x14ac:dyDescent="0.25" r="598" customHeight="1" ht="18.75">
      <c r="A598" s="5">
        <v>74213286</v>
      </c>
      <c r="B598" s="6">
        <v>1781</v>
      </c>
      <c r="C598" s="7" t="s">
        <v>2920</v>
      </c>
      <c r="D598" s="7" t="s">
        <v>2921</v>
      </c>
      <c r="E598" s="8">
        <v>74313286</v>
      </c>
      <c r="F598" s="8">
        <v>1781</v>
      </c>
      <c r="G598" s="7" t="s">
        <v>27</v>
      </c>
      <c r="H598" s="7" t="s">
        <v>2922</v>
      </c>
      <c r="I598" s="7" t="s">
        <v>2923</v>
      </c>
      <c r="J598" s="8">
        <f>74952408424</f>
      </c>
      <c r="K598" s="8">
        <v>6356</v>
      </c>
      <c r="L598" s="7" t="s">
        <v>1276</v>
      </c>
      <c r="M598" s="8">
        <v>105</v>
      </c>
      <c r="N598" s="7" t="s">
        <v>1277</v>
      </c>
      <c r="O598" s="7" t="s">
        <v>73</v>
      </c>
      <c r="P598" s="7" t="s">
        <v>1532</v>
      </c>
      <c r="Q598" s="8" t="s">
        <v>1533</v>
      </c>
      <c r="R598" s="7" t="s">
        <v>33</v>
      </c>
      <c r="S598" s="7" t="s">
        <v>34</v>
      </c>
      <c r="T598" s="10">
        <v>0</v>
      </c>
      <c r="U598" s="7" t="s">
        <v>48</v>
      </c>
      <c r="V598" s="10" t="s">
        <v>64</v>
      </c>
      <c r="W598" s="7" t="s">
        <v>48</v>
      </c>
      <c r="X598" s="10" t="s">
        <v>65</v>
      </c>
      <c r="Y598" s="7" t="s">
        <v>37</v>
      </c>
    </row>
    <row x14ac:dyDescent="0.25" r="599" customHeight="1" ht="18.75">
      <c r="A599" s="11">
        <v>74213282</v>
      </c>
      <c r="B599" s="12">
        <v>1782</v>
      </c>
      <c r="C599" s="13" t="s">
        <v>2924</v>
      </c>
      <c r="D599" s="13" t="s">
        <v>2925</v>
      </c>
      <c r="E599" s="14">
        <v>74313282</v>
      </c>
      <c r="F599" s="14">
        <v>1782</v>
      </c>
      <c r="G599" s="13" t="s">
        <v>27</v>
      </c>
      <c r="H599" s="13" t="s">
        <v>2926</v>
      </c>
      <c r="I599" s="13" t="s">
        <v>2927</v>
      </c>
      <c r="J599" s="14">
        <f>74959812794</f>
      </c>
      <c r="K599" s="14">
        <v>6064</v>
      </c>
      <c r="L599" s="13" t="s">
        <v>1276</v>
      </c>
      <c r="M599" s="14">
        <v>105</v>
      </c>
      <c r="N599" s="13" t="s">
        <v>1277</v>
      </c>
      <c r="O599" s="13" t="s">
        <v>32</v>
      </c>
      <c r="P599" s="13" t="s">
        <v>32</v>
      </c>
      <c r="Q599" s="14" t="s">
        <v>58</v>
      </c>
      <c r="R599" s="13" t="s">
        <v>33</v>
      </c>
      <c r="S599" s="13" t="s">
        <v>34</v>
      </c>
      <c r="T599" s="15">
        <v>0</v>
      </c>
      <c r="U599" s="13"/>
      <c r="V599" s="15">
        <v>0</v>
      </c>
      <c r="W599" s="13" t="s">
        <v>35</v>
      </c>
      <c r="X599" s="15" t="s">
        <v>36</v>
      </c>
      <c r="Y599" s="13" t="s">
        <v>37</v>
      </c>
    </row>
    <row x14ac:dyDescent="0.25" r="600" customHeight="1" ht="18.75">
      <c r="A600" s="5">
        <v>74213291</v>
      </c>
      <c r="B600" s="6">
        <v>1783</v>
      </c>
      <c r="C600" s="7" t="s">
        <v>2928</v>
      </c>
      <c r="D600" s="7" t="s">
        <v>2929</v>
      </c>
      <c r="E600" s="8">
        <v>74313291</v>
      </c>
      <c r="F600" s="8">
        <v>1783</v>
      </c>
      <c r="G600" s="7" t="s">
        <v>27</v>
      </c>
      <c r="H600" s="7" t="s">
        <v>2930</v>
      </c>
      <c r="I600" s="7" t="s">
        <v>2931</v>
      </c>
      <c r="J600" s="8">
        <f>74952408424</f>
      </c>
      <c r="K600" s="8">
        <v>6410</v>
      </c>
      <c r="L600" s="7" t="s">
        <v>1276</v>
      </c>
      <c r="M600" s="8">
        <v>105</v>
      </c>
      <c r="N600" s="7" t="s">
        <v>1277</v>
      </c>
      <c r="O600" s="7" t="s">
        <v>73</v>
      </c>
      <c r="P600" s="7" t="s">
        <v>2181</v>
      </c>
      <c r="Q600" s="8" t="s">
        <v>182</v>
      </c>
      <c r="R600" s="7" t="s">
        <v>33</v>
      </c>
      <c r="S600" s="7" t="s">
        <v>34</v>
      </c>
      <c r="T600" s="10">
        <v>0</v>
      </c>
      <c r="U600" s="7" t="s">
        <v>35</v>
      </c>
      <c r="V600" s="10" t="s">
        <v>125</v>
      </c>
      <c r="W600" s="7" t="s">
        <v>48</v>
      </c>
      <c r="X600" s="10" t="s">
        <v>36</v>
      </c>
      <c r="Y600" s="7" t="s">
        <v>59</v>
      </c>
    </row>
    <row x14ac:dyDescent="0.25" r="601" customHeight="1" ht="18.75">
      <c r="A601" s="11">
        <v>74213546</v>
      </c>
      <c r="B601" s="12">
        <v>1784</v>
      </c>
      <c r="C601" s="13" t="s">
        <v>2932</v>
      </c>
      <c r="D601" s="13" t="s">
        <v>2933</v>
      </c>
      <c r="E601" s="14">
        <v>74313546</v>
      </c>
      <c r="F601" s="14">
        <v>1784</v>
      </c>
      <c r="G601" s="13" t="s">
        <v>27</v>
      </c>
      <c r="H601" s="13" t="s">
        <v>2934</v>
      </c>
      <c r="I601" s="13" t="s">
        <v>2935</v>
      </c>
      <c r="J601" s="14">
        <f>74952408424</f>
      </c>
      <c r="K601" s="14">
        <v>6054</v>
      </c>
      <c r="L601" s="13" t="s">
        <v>1276</v>
      </c>
      <c r="M601" s="14">
        <v>105</v>
      </c>
      <c r="N601" s="13" t="s">
        <v>1277</v>
      </c>
      <c r="O601" s="13" t="s">
        <v>32</v>
      </c>
      <c r="P601" s="13" t="s">
        <v>32</v>
      </c>
      <c r="Q601" s="14" t="s">
        <v>58</v>
      </c>
      <c r="R601" s="13" t="s">
        <v>33</v>
      </c>
      <c r="S601" s="13" t="s">
        <v>34</v>
      </c>
      <c r="T601" s="15">
        <v>0</v>
      </c>
      <c r="U601" s="13" t="s">
        <v>48</v>
      </c>
      <c r="V601" s="15" t="s">
        <v>125</v>
      </c>
      <c r="W601" s="13" t="s">
        <v>35</v>
      </c>
      <c r="X601" s="15" t="s">
        <v>36</v>
      </c>
      <c r="Y601" s="13" t="s">
        <v>59</v>
      </c>
    </row>
    <row x14ac:dyDescent="0.25" r="602" customHeight="1" ht="18.75">
      <c r="A602" s="5">
        <v>74220410</v>
      </c>
      <c r="B602" s="6">
        <v>1785</v>
      </c>
      <c r="C602" s="7" t="s">
        <v>2936</v>
      </c>
      <c r="D602" s="7" t="s">
        <v>2937</v>
      </c>
      <c r="E602" s="8">
        <v>74320410</v>
      </c>
      <c r="F602" s="8">
        <v>1785</v>
      </c>
      <c r="G602" s="7" t="s">
        <v>27</v>
      </c>
      <c r="H602" s="7" t="s">
        <v>2938</v>
      </c>
      <c r="I602" s="7" t="s">
        <v>2939</v>
      </c>
      <c r="J602" s="8">
        <f>74952408424</f>
      </c>
      <c r="K602" s="8">
        <v>6042</v>
      </c>
      <c r="L602" s="7" t="s">
        <v>1276</v>
      </c>
      <c r="M602" s="8">
        <v>105</v>
      </c>
      <c r="N602" s="7" t="s">
        <v>1277</v>
      </c>
      <c r="O602" s="7" t="s">
        <v>32</v>
      </c>
      <c r="P602" s="7" t="s">
        <v>32</v>
      </c>
      <c r="Q602" s="8" t="s">
        <v>58</v>
      </c>
      <c r="R602" s="7" t="s">
        <v>33</v>
      </c>
      <c r="S602" s="7" t="s">
        <v>34</v>
      </c>
      <c r="T602" s="10">
        <v>0</v>
      </c>
      <c r="U602" s="7"/>
      <c r="V602" s="10">
        <v>0</v>
      </c>
      <c r="W602" s="7" t="s">
        <v>35</v>
      </c>
      <c r="X602" s="10" t="s">
        <v>36</v>
      </c>
      <c r="Y602" s="7" t="s">
        <v>37</v>
      </c>
    </row>
    <row x14ac:dyDescent="0.25" r="603" customHeight="1" ht="18.75">
      <c r="A603" s="11">
        <v>74213461</v>
      </c>
      <c r="B603" s="12">
        <v>1786</v>
      </c>
      <c r="C603" s="13" t="s">
        <v>2940</v>
      </c>
      <c r="D603" s="13" t="s">
        <v>2941</v>
      </c>
      <c r="E603" s="14">
        <v>74313461</v>
      </c>
      <c r="F603" s="14">
        <v>1786</v>
      </c>
      <c r="G603" s="13" t="s">
        <v>27</v>
      </c>
      <c r="H603" s="13" t="s">
        <v>2942</v>
      </c>
      <c r="I603" s="13" t="s">
        <v>2943</v>
      </c>
      <c r="J603" s="14">
        <f>74952408424</f>
      </c>
      <c r="K603" s="14">
        <v>6502</v>
      </c>
      <c r="L603" s="13" t="s">
        <v>1276</v>
      </c>
      <c r="M603" s="14">
        <v>105</v>
      </c>
      <c r="N603" s="13" t="s">
        <v>1277</v>
      </c>
      <c r="O603" s="13" t="s">
        <v>44</v>
      </c>
      <c r="P603" s="13" t="s">
        <v>2876</v>
      </c>
      <c r="Q603" s="14" t="s">
        <v>58</v>
      </c>
      <c r="R603" s="13" t="s">
        <v>33</v>
      </c>
      <c r="S603" s="13" t="s">
        <v>34</v>
      </c>
      <c r="T603" s="15">
        <v>0</v>
      </c>
      <c r="U603" s="13" t="s">
        <v>48</v>
      </c>
      <c r="V603" s="15" t="s">
        <v>125</v>
      </c>
      <c r="W603" s="13" t="s">
        <v>35</v>
      </c>
      <c r="X603" s="15" t="s">
        <v>65</v>
      </c>
      <c r="Y603" s="13" t="s">
        <v>59</v>
      </c>
    </row>
    <row x14ac:dyDescent="0.25" r="604" customHeight="1" ht="18.75">
      <c r="A604" s="5">
        <v>74213756</v>
      </c>
      <c r="B604" s="6">
        <v>1788</v>
      </c>
      <c r="C604" s="7" t="s">
        <v>2944</v>
      </c>
      <c r="D604" s="7" t="s">
        <v>2945</v>
      </c>
      <c r="E604" s="8">
        <v>74313756</v>
      </c>
      <c r="F604" s="8">
        <v>1788</v>
      </c>
      <c r="G604" s="7" t="s">
        <v>27</v>
      </c>
      <c r="H604" s="7" t="s">
        <v>2946</v>
      </c>
      <c r="I604" s="7" t="s">
        <v>2947</v>
      </c>
      <c r="J604" s="8">
        <f>74952408424</f>
      </c>
      <c r="K604" s="8">
        <v>6252</v>
      </c>
      <c r="L604" s="7" t="s">
        <v>1276</v>
      </c>
      <c r="M604" s="8">
        <v>105</v>
      </c>
      <c r="N604" s="7" t="s">
        <v>1277</v>
      </c>
      <c r="O604" s="7" t="s">
        <v>96</v>
      </c>
      <c r="P604" s="7" t="s">
        <v>1799</v>
      </c>
      <c r="Q604" s="8" t="s">
        <v>182</v>
      </c>
      <c r="R604" s="7" t="s">
        <v>33</v>
      </c>
      <c r="S604" s="7" t="s">
        <v>34</v>
      </c>
      <c r="T604" s="10">
        <v>0</v>
      </c>
      <c r="U604" s="7" t="s">
        <v>48</v>
      </c>
      <c r="V604" s="10" t="s">
        <v>214</v>
      </c>
      <c r="W604" s="7" t="s">
        <v>48</v>
      </c>
      <c r="X604" s="10" t="s">
        <v>36</v>
      </c>
      <c r="Y604" s="7" t="s">
        <v>59</v>
      </c>
    </row>
    <row x14ac:dyDescent="0.25" r="605" customHeight="1" ht="18.75">
      <c r="A605" s="11">
        <v>74214083</v>
      </c>
      <c r="B605" s="12">
        <v>1789</v>
      </c>
      <c r="C605" s="13" t="s">
        <v>2948</v>
      </c>
      <c r="D605" s="13" t="s">
        <v>2949</v>
      </c>
      <c r="E605" s="14">
        <v>74314083</v>
      </c>
      <c r="F605" s="14">
        <v>1789</v>
      </c>
      <c r="G605" s="13" t="s">
        <v>27</v>
      </c>
      <c r="H605" s="13" t="s">
        <v>2950</v>
      </c>
      <c r="I605" s="13" t="s">
        <v>2951</v>
      </c>
      <c r="J605" s="14">
        <f>74952408424</f>
      </c>
      <c r="K605" s="14">
        <v>6358</v>
      </c>
      <c r="L605" s="13" t="s">
        <v>1276</v>
      </c>
      <c r="M605" s="14">
        <v>105</v>
      </c>
      <c r="N605" s="13" t="s">
        <v>1277</v>
      </c>
      <c r="O605" s="13" t="s">
        <v>73</v>
      </c>
      <c r="P605" s="13" t="s">
        <v>1532</v>
      </c>
      <c r="Q605" s="14" t="s">
        <v>1533</v>
      </c>
      <c r="R605" s="13" t="s">
        <v>33</v>
      </c>
      <c r="S605" s="13" t="s">
        <v>34</v>
      </c>
      <c r="T605" s="15">
        <v>0</v>
      </c>
      <c r="U605" s="13" t="s">
        <v>35</v>
      </c>
      <c r="V605" s="15" t="s">
        <v>64</v>
      </c>
      <c r="W605" s="13" t="s">
        <v>48</v>
      </c>
      <c r="X605" s="15" t="s">
        <v>65</v>
      </c>
      <c r="Y605" s="13" t="s">
        <v>37</v>
      </c>
    </row>
    <row x14ac:dyDescent="0.25" r="606" customHeight="1" ht="18.75">
      <c r="A606" s="5">
        <v>74214453</v>
      </c>
      <c r="B606" s="6">
        <v>1790</v>
      </c>
      <c r="C606" s="7" t="s">
        <v>2952</v>
      </c>
      <c r="D606" s="7" t="s">
        <v>2953</v>
      </c>
      <c r="E606" s="8">
        <v>74314453</v>
      </c>
      <c r="F606" s="8">
        <v>1790</v>
      </c>
      <c r="G606" s="7" t="s">
        <v>27</v>
      </c>
      <c r="H606" s="7" t="s">
        <v>2954</v>
      </c>
      <c r="I606" s="7" t="s">
        <v>2955</v>
      </c>
      <c r="J606" s="8">
        <f>74952408424</f>
      </c>
      <c r="K606" s="8">
        <v>9362</v>
      </c>
      <c r="L606" s="7" t="s">
        <v>1276</v>
      </c>
      <c r="M606" s="8">
        <v>105</v>
      </c>
      <c r="N606" s="7" t="s">
        <v>1277</v>
      </c>
      <c r="O606" s="7" t="s">
        <v>73</v>
      </c>
      <c r="P606" s="7" t="s">
        <v>1532</v>
      </c>
      <c r="Q606" s="8" t="s">
        <v>1533</v>
      </c>
      <c r="R606" s="7" t="s">
        <v>33</v>
      </c>
      <c r="S606" s="7" t="s">
        <v>34</v>
      </c>
      <c r="T606" s="10">
        <v>0</v>
      </c>
      <c r="U606" s="7"/>
      <c r="V606" s="10">
        <v>0</v>
      </c>
      <c r="W606" s="7" t="s">
        <v>48</v>
      </c>
      <c r="X606" s="10" t="s">
        <v>65</v>
      </c>
      <c r="Y606" s="7" t="s">
        <v>37</v>
      </c>
    </row>
    <row x14ac:dyDescent="0.25" r="607" customHeight="1" ht="18.75">
      <c r="A607" s="11">
        <v>74214452</v>
      </c>
      <c r="B607" s="12">
        <v>1791</v>
      </c>
      <c r="C607" s="13" t="s">
        <v>2956</v>
      </c>
      <c r="D607" s="13" t="s">
        <v>2957</v>
      </c>
      <c r="E607" s="14">
        <v>74314452</v>
      </c>
      <c r="F607" s="14">
        <v>1791</v>
      </c>
      <c r="G607" s="13" t="s">
        <v>27</v>
      </c>
      <c r="H607" s="13" t="s">
        <v>2958</v>
      </c>
      <c r="I607" s="13" t="s">
        <v>2959</v>
      </c>
      <c r="J607" s="14">
        <f>74952408424</f>
      </c>
      <c r="K607" s="14">
        <v>6360</v>
      </c>
      <c r="L607" s="13" t="s">
        <v>1276</v>
      </c>
      <c r="M607" s="14">
        <v>105</v>
      </c>
      <c r="N607" s="13" t="s">
        <v>1277</v>
      </c>
      <c r="O607" s="13" t="s">
        <v>73</v>
      </c>
      <c r="P607" s="13" t="s">
        <v>1532</v>
      </c>
      <c r="Q607" s="14" t="s">
        <v>1533</v>
      </c>
      <c r="R607" s="13" t="s">
        <v>33</v>
      </c>
      <c r="S607" s="13" t="s">
        <v>34</v>
      </c>
      <c r="T607" s="15">
        <v>0</v>
      </c>
      <c r="U607" s="13" t="s">
        <v>48</v>
      </c>
      <c r="V607" s="15" t="s">
        <v>214</v>
      </c>
      <c r="W607" s="13" t="s">
        <v>48</v>
      </c>
      <c r="X607" s="15" t="s">
        <v>65</v>
      </c>
      <c r="Y607" s="13" t="s">
        <v>59</v>
      </c>
    </row>
    <row x14ac:dyDescent="0.25" r="608" customHeight="1" ht="18.75">
      <c r="A608" s="5">
        <v>74214455</v>
      </c>
      <c r="B608" s="6">
        <v>1792</v>
      </c>
      <c r="C608" s="7" t="s">
        <v>2960</v>
      </c>
      <c r="D608" s="7" t="s">
        <v>2961</v>
      </c>
      <c r="E608" s="8">
        <v>74314455</v>
      </c>
      <c r="F608" s="8">
        <v>1792</v>
      </c>
      <c r="G608" s="7" t="s">
        <v>27</v>
      </c>
      <c r="H608" s="7" t="s">
        <v>2962</v>
      </c>
      <c r="I608" s="7" t="s">
        <v>2963</v>
      </c>
      <c r="J608" s="8">
        <f>74952408424</f>
      </c>
      <c r="K608" s="8">
        <v>6364</v>
      </c>
      <c r="L608" s="7" t="s">
        <v>1276</v>
      </c>
      <c r="M608" s="8">
        <v>105</v>
      </c>
      <c r="N608" s="7" t="s">
        <v>1277</v>
      </c>
      <c r="O608" s="7" t="s">
        <v>73</v>
      </c>
      <c r="P608" s="7" t="s">
        <v>1532</v>
      </c>
      <c r="Q608" s="8" t="s">
        <v>1533</v>
      </c>
      <c r="R608" s="7" t="s">
        <v>33</v>
      </c>
      <c r="S608" s="7" t="s">
        <v>34</v>
      </c>
      <c r="T608" s="10">
        <v>0</v>
      </c>
      <c r="U608" s="7" t="s">
        <v>48</v>
      </c>
      <c r="V608" s="10" t="s">
        <v>125</v>
      </c>
      <c r="W608" s="7" t="s">
        <v>48</v>
      </c>
      <c r="X608" s="10" t="s">
        <v>65</v>
      </c>
      <c r="Y608" s="7" t="s">
        <v>59</v>
      </c>
    </row>
    <row x14ac:dyDescent="0.25" r="609" customHeight="1" ht="18.75">
      <c r="A609" s="11">
        <v>74214878</v>
      </c>
      <c r="B609" s="12">
        <v>1793</v>
      </c>
      <c r="C609" s="13" t="s">
        <v>2964</v>
      </c>
      <c r="D609" s="13" t="s">
        <v>2965</v>
      </c>
      <c r="E609" s="14">
        <v>74314878</v>
      </c>
      <c r="F609" s="14">
        <v>1793</v>
      </c>
      <c r="G609" s="13" t="s">
        <v>27</v>
      </c>
      <c r="H609" s="13" t="s">
        <v>2966</v>
      </c>
      <c r="I609" s="13" t="s">
        <v>2967</v>
      </c>
      <c r="J609" s="14">
        <f>74952408424</f>
      </c>
      <c r="K609" s="14">
        <v>6302</v>
      </c>
      <c r="L609" s="13" t="s">
        <v>1276</v>
      </c>
      <c r="M609" s="14">
        <v>105</v>
      </c>
      <c r="N609" s="13" t="s">
        <v>1277</v>
      </c>
      <c r="O609" s="13" t="s">
        <v>73</v>
      </c>
      <c r="P609" s="13" t="s">
        <v>1872</v>
      </c>
      <c r="Q609" s="14" t="s">
        <v>2968</v>
      </c>
      <c r="R609" s="13" t="s">
        <v>33</v>
      </c>
      <c r="S609" s="13" t="s">
        <v>34</v>
      </c>
      <c r="T609" s="15">
        <v>0</v>
      </c>
      <c r="U609" s="13"/>
      <c r="V609" s="15">
        <v>0</v>
      </c>
      <c r="W609" s="13" t="s">
        <v>35</v>
      </c>
      <c r="X609" s="15" t="s">
        <v>36</v>
      </c>
      <c r="Y609" s="13" t="s">
        <v>59</v>
      </c>
    </row>
    <row x14ac:dyDescent="0.25" r="610" customHeight="1" ht="18.75">
      <c r="A610" s="5">
        <v>74214957</v>
      </c>
      <c r="B610" s="6">
        <v>1794</v>
      </c>
      <c r="C610" s="7" t="s">
        <v>2969</v>
      </c>
      <c r="D610" s="7" t="s">
        <v>2970</v>
      </c>
      <c r="E610" s="8">
        <v>74314957</v>
      </c>
      <c r="F610" s="8">
        <v>1794</v>
      </c>
      <c r="G610" s="7" t="s">
        <v>27</v>
      </c>
      <c r="H610" s="7" t="s">
        <v>2971</v>
      </c>
      <c r="I610" s="7" t="s">
        <v>2972</v>
      </c>
      <c r="J610" s="8">
        <f>78462150333</f>
      </c>
      <c r="K610" s="8">
        <v>9506</v>
      </c>
      <c r="L610" s="7" t="s">
        <v>1276</v>
      </c>
      <c r="M610" s="8">
        <v>105</v>
      </c>
      <c r="N610" s="7" t="s">
        <v>1277</v>
      </c>
      <c r="O610" s="7" t="s">
        <v>44</v>
      </c>
      <c r="P610" s="7" t="s">
        <v>2876</v>
      </c>
      <c r="Q610" s="8" t="s">
        <v>58</v>
      </c>
      <c r="R610" s="7" t="s">
        <v>33</v>
      </c>
      <c r="S610" s="7" t="s">
        <v>34</v>
      </c>
      <c r="T610" s="10">
        <v>0</v>
      </c>
      <c r="U610" s="7" t="s">
        <v>35</v>
      </c>
      <c r="V610" s="10" t="s">
        <v>125</v>
      </c>
      <c r="W610" s="7" t="s">
        <v>48</v>
      </c>
      <c r="X610" s="10" t="s">
        <v>65</v>
      </c>
      <c r="Y610" s="7" t="s">
        <v>59</v>
      </c>
    </row>
    <row x14ac:dyDescent="0.25" r="611" customHeight="1" ht="18.75">
      <c r="A611" s="11">
        <v>74215106</v>
      </c>
      <c r="B611" s="12">
        <v>1795</v>
      </c>
      <c r="C611" s="13" t="s">
        <v>2973</v>
      </c>
      <c r="D611" s="13" t="s">
        <v>2974</v>
      </c>
      <c r="E611" s="14">
        <v>74315106</v>
      </c>
      <c r="F611" s="14">
        <v>1795</v>
      </c>
      <c r="G611" s="13" t="s">
        <v>27</v>
      </c>
      <c r="H611" s="13" t="s">
        <v>2975</v>
      </c>
      <c r="I611" s="13" t="s">
        <v>2976</v>
      </c>
      <c r="J611" s="14">
        <f>74952408424</f>
      </c>
      <c r="K611" s="14">
        <v>6156</v>
      </c>
      <c r="L611" s="13" t="s">
        <v>1276</v>
      </c>
      <c r="M611" s="14">
        <v>105</v>
      </c>
      <c r="N611" s="13" t="s">
        <v>1277</v>
      </c>
      <c r="O611" s="13" t="s">
        <v>32</v>
      </c>
      <c r="P611" s="13" t="s">
        <v>32</v>
      </c>
      <c r="Q611" s="14" t="s">
        <v>58</v>
      </c>
      <c r="R611" s="13" t="s">
        <v>33</v>
      </c>
      <c r="S611" s="13" t="s">
        <v>34</v>
      </c>
      <c r="T611" s="15">
        <v>0</v>
      </c>
      <c r="U611" s="13" t="s">
        <v>48</v>
      </c>
      <c r="V611" s="15" t="s">
        <v>214</v>
      </c>
      <c r="W611" s="13" t="s">
        <v>48</v>
      </c>
      <c r="X611" s="15" t="s">
        <v>36</v>
      </c>
      <c r="Y611" s="13" t="s">
        <v>37</v>
      </c>
    </row>
    <row x14ac:dyDescent="0.25" r="612" customHeight="1" ht="18.75">
      <c r="A612" s="5">
        <v>74215253</v>
      </c>
      <c r="B612" s="6">
        <v>1796</v>
      </c>
      <c r="C612" s="7" t="s">
        <v>2977</v>
      </c>
      <c r="D612" s="7" t="s">
        <v>2978</v>
      </c>
      <c r="E612" s="8">
        <v>74315253</v>
      </c>
      <c r="F612" s="8">
        <v>1796</v>
      </c>
      <c r="G612" s="7" t="s">
        <v>27</v>
      </c>
      <c r="H612" s="7" t="s">
        <v>2979</v>
      </c>
      <c r="I612" s="7" t="s">
        <v>2980</v>
      </c>
      <c r="J612" s="8">
        <f>74952408424</f>
      </c>
      <c r="K612" s="8">
        <v>6366</v>
      </c>
      <c r="L612" s="7" t="s">
        <v>1276</v>
      </c>
      <c r="M612" s="8">
        <v>105</v>
      </c>
      <c r="N612" s="7" t="s">
        <v>1277</v>
      </c>
      <c r="O612" s="7" t="s">
        <v>73</v>
      </c>
      <c r="P612" s="7" t="s">
        <v>1532</v>
      </c>
      <c r="Q612" s="8" t="s">
        <v>1533</v>
      </c>
      <c r="R612" s="7" t="s">
        <v>33</v>
      </c>
      <c r="S612" s="7" t="s">
        <v>34</v>
      </c>
      <c r="T612" s="10">
        <v>0</v>
      </c>
      <c r="U612" s="7" t="s">
        <v>35</v>
      </c>
      <c r="V612" s="10" t="s">
        <v>125</v>
      </c>
      <c r="W612" s="7" t="s">
        <v>48</v>
      </c>
      <c r="X612" s="10" t="s">
        <v>65</v>
      </c>
      <c r="Y612" s="7" t="s">
        <v>59</v>
      </c>
    </row>
    <row x14ac:dyDescent="0.25" r="613" customHeight="1" ht="18.75">
      <c r="A613" s="11">
        <v>74215706</v>
      </c>
      <c r="B613" s="12">
        <v>1797</v>
      </c>
      <c r="C613" s="13" t="s">
        <v>2981</v>
      </c>
      <c r="D613" s="13" t="s">
        <v>2982</v>
      </c>
      <c r="E613" s="14">
        <v>74315706</v>
      </c>
      <c r="F613" s="14">
        <v>1797</v>
      </c>
      <c r="G613" s="13" t="s">
        <v>27</v>
      </c>
      <c r="H613" s="13" t="s">
        <v>2983</v>
      </c>
      <c r="I613" s="13" t="s">
        <v>2984</v>
      </c>
      <c r="J613" s="14">
        <f>74952408424</f>
      </c>
      <c r="K613" s="14">
        <v>6412</v>
      </c>
      <c r="L613" s="13" t="s">
        <v>1276</v>
      </c>
      <c r="M613" s="14">
        <v>105</v>
      </c>
      <c r="N613" s="13" t="s">
        <v>1277</v>
      </c>
      <c r="O613" s="13" t="s">
        <v>73</v>
      </c>
      <c r="P613" s="13" t="s">
        <v>2181</v>
      </c>
      <c r="Q613" s="14" t="s">
        <v>182</v>
      </c>
      <c r="R613" s="13" t="s">
        <v>33</v>
      </c>
      <c r="S613" s="13" t="s">
        <v>34</v>
      </c>
      <c r="T613" s="15">
        <v>0</v>
      </c>
      <c r="U613" s="13"/>
      <c r="V613" s="15">
        <v>0</v>
      </c>
      <c r="W613" s="13" t="s">
        <v>35</v>
      </c>
      <c r="X613" s="15" t="s">
        <v>36</v>
      </c>
      <c r="Y613" s="13" t="s">
        <v>37</v>
      </c>
    </row>
    <row x14ac:dyDescent="0.25" r="614" customHeight="1" ht="18.75">
      <c r="A614" s="5">
        <v>74215951</v>
      </c>
      <c r="B614" s="6">
        <v>1798</v>
      </c>
      <c r="C614" s="7" t="s">
        <v>2985</v>
      </c>
      <c r="D614" s="7" t="s">
        <v>2986</v>
      </c>
      <c r="E614" s="8">
        <v>74315951</v>
      </c>
      <c r="F614" s="8">
        <v>1798</v>
      </c>
      <c r="G614" s="7" t="s">
        <v>27</v>
      </c>
      <c r="H614" s="7" t="s">
        <v>2987</v>
      </c>
      <c r="I614" s="7" t="s">
        <v>2988</v>
      </c>
      <c r="J614" s="8">
        <f>74952408424</f>
      </c>
      <c r="K614" s="8">
        <v>6508</v>
      </c>
      <c r="L614" s="7" t="s">
        <v>1276</v>
      </c>
      <c r="M614" s="8">
        <v>105</v>
      </c>
      <c r="N614" s="7" t="s">
        <v>1277</v>
      </c>
      <c r="O614" s="7" t="s">
        <v>44</v>
      </c>
      <c r="P614" s="7" t="s">
        <v>2876</v>
      </c>
      <c r="Q614" s="8" t="s">
        <v>58</v>
      </c>
      <c r="R614" s="7" t="s">
        <v>33</v>
      </c>
      <c r="S614" s="7" t="s">
        <v>34</v>
      </c>
      <c r="T614" s="10">
        <v>0</v>
      </c>
      <c r="U614" s="7" t="s">
        <v>48</v>
      </c>
      <c r="V614" s="10" t="s">
        <v>214</v>
      </c>
      <c r="W614" s="7" t="s">
        <v>48</v>
      </c>
      <c r="X614" s="10" t="s">
        <v>65</v>
      </c>
      <c r="Y614" s="7" t="s">
        <v>37</v>
      </c>
    </row>
    <row x14ac:dyDescent="0.25" r="615" customHeight="1" ht="18.75">
      <c r="A615" s="11">
        <v>74215982</v>
      </c>
      <c r="B615" s="12">
        <v>1799</v>
      </c>
      <c r="C615" s="13" t="s">
        <v>2989</v>
      </c>
      <c r="D615" s="13" t="s">
        <v>2990</v>
      </c>
      <c r="E615" s="14">
        <v>74315982</v>
      </c>
      <c r="F615" s="14">
        <v>1799</v>
      </c>
      <c r="G615" s="13" t="s">
        <v>27</v>
      </c>
      <c r="H615" s="13" t="s">
        <v>2991</v>
      </c>
      <c r="I615" s="13" t="s">
        <v>2992</v>
      </c>
      <c r="J615" s="14">
        <f>74952408424</f>
      </c>
      <c r="K615" s="14">
        <v>6304</v>
      </c>
      <c r="L615" s="13" t="s">
        <v>1276</v>
      </c>
      <c r="M615" s="14">
        <v>105</v>
      </c>
      <c r="N615" s="13" t="s">
        <v>1277</v>
      </c>
      <c r="O615" s="13" t="s">
        <v>73</v>
      </c>
      <c r="P615" s="13" t="s">
        <v>1872</v>
      </c>
      <c r="Q615" s="14" t="s">
        <v>2993</v>
      </c>
      <c r="R615" s="13" t="s">
        <v>33</v>
      </c>
      <c r="S615" s="13" t="s">
        <v>34</v>
      </c>
      <c r="T615" s="15">
        <v>0</v>
      </c>
      <c r="U615" s="13" t="s">
        <v>35</v>
      </c>
      <c r="V615" s="15" t="s">
        <v>64</v>
      </c>
      <c r="W615" s="13" t="s">
        <v>48</v>
      </c>
      <c r="X615" s="15" t="s">
        <v>36</v>
      </c>
      <c r="Y615" s="13" t="s">
        <v>37</v>
      </c>
    </row>
    <row x14ac:dyDescent="0.25" r="616" customHeight="1" ht="18.75">
      <c r="A616" s="5">
        <v>74216249</v>
      </c>
      <c r="B616" s="6">
        <v>1800</v>
      </c>
      <c r="C616" s="7" t="s">
        <v>2994</v>
      </c>
      <c r="D616" s="7" t="s">
        <v>2995</v>
      </c>
      <c r="E616" s="8">
        <v>74316249</v>
      </c>
      <c r="F616" s="8">
        <v>1800</v>
      </c>
      <c r="G616" s="7" t="s">
        <v>27</v>
      </c>
      <c r="H616" s="7" t="s">
        <v>2996</v>
      </c>
      <c r="I616" s="7" t="s">
        <v>2997</v>
      </c>
      <c r="J616" s="8">
        <f>74952408424</f>
      </c>
      <c r="K616" s="8">
        <v>6512</v>
      </c>
      <c r="L616" s="7" t="s">
        <v>1276</v>
      </c>
      <c r="M616" s="8">
        <v>105</v>
      </c>
      <c r="N616" s="7" t="s">
        <v>1277</v>
      </c>
      <c r="O616" s="7" t="s">
        <v>44</v>
      </c>
      <c r="P616" s="7" t="s">
        <v>2998</v>
      </c>
      <c r="Q616" s="8" t="s">
        <v>58</v>
      </c>
      <c r="R616" s="7" t="s">
        <v>33</v>
      </c>
      <c r="S616" s="7" t="s">
        <v>34</v>
      </c>
      <c r="T616" s="10">
        <v>0</v>
      </c>
      <c r="U616" s="7"/>
      <c r="V616" s="10">
        <v>0</v>
      </c>
      <c r="W616" s="7" t="s">
        <v>48</v>
      </c>
      <c r="X616" s="10" t="s">
        <v>65</v>
      </c>
      <c r="Y616" s="7" t="s">
        <v>59</v>
      </c>
    </row>
    <row x14ac:dyDescent="0.25" r="617" customHeight="1" ht="18.75">
      <c r="A617" s="11">
        <v>74216264</v>
      </c>
      <c r="B617" s="12">
        <v>1802</v>
      </c>
      <c r="C617" s="13" t="s">
        <v>2999</v>
      </c>
      <c r="D617" s="13" t="s">
        <v>3000</v>
      </c>
      <c r="E617" s="14">
        <v>74316264</v>
      </c>
      <c r="F617" s="14">
        <v>1802</v>
      </c>
      <c r="G617" s="13" t="s">
        <v>27</v>
      </c>
      <c r="H617" s="13" t="s">
        <v>3001</v>
      </c>
      <c r="I617" s="13" t="s">
        <v>3002</v>
      </c>
      <c r="J617" s="14">
        <f>74952408424</f>
      </c>
      <c r="K617" s="14">
        <v>6414</v>
      </c>
      <c r="L617" s="13" t="s">
        <v>1276</v>
      </c>
      <c r="M617" s="14">
        <v>105</v>
      </c>
      <c r="N617" s="13" t="s">
        <v>1277</v>
      </c>
      <c r="O617" s="13" t="s">
        <v>73</v>
      </c>
      <c r="P617" s="13" t="s">
        <v>2181</v>
      </c>
      <c r="Q617" s="14" t="s">
        <v>182</v>
      </c>
      <c r="R617" s="13" t="s">
        <v>33</v>
      </c>
      <c r="S617" s="13" t="s">
        <v>34</v>
      </c>
      <c r="T617" s="15">
        <v>0</v>
      </c>
      <c r="U617" s="13" t="s">
        <v>35</v>
      </c>
      <c r="V617" s="15" t="s">
        <v>64</v>
      </c>
      <c r="W617" s="13" t="s">
        <v>48</v>
      </c>
      <c r="X617" s="15" t="s">
        <v>36</v>
      </c>
      <c r="Y617" s="13" t="s">
        <v>37</v>
      </c>
    </row>
    <row x14ac:dyDescent="0.25" r="618" customHeight="1" ht="18.75">
      <c r="A618" s="5">
        <v>74216325</v>
      </c>
      <c r="B618" s="6">
        <v>1803</v>
      </c>
      <c r="C618" s="7" t="s">
        <v>3003</v>
      </c>
      <c r="D618" s="7" t="s">
        <v>3004</v>
      </c>
      <c r="E618" s="8">
        <v>74316325</v>
      </c>
      <c r="F618" s="8">
        <v>1803</v>
      </c>
      <c r="G618" s="7" t="s">
        <v>27</v>
      </c>
      <c r="H618" s="7" t="s">
        <v>3005</v>
      </c>
      <c r="I618" s="7" t="s">
        <v>3006</v>
      </c>
      <c r="J618" s="8">
        <f>74952408424</f>
      </c>
      <c r="K618" s="8">
        <v>6510</v>
      </c>
      <c r="L618" s="7" t="s">
        <v>1276</v>
      </c>
      <c r="M618" s="8">
        <v>105</v>
      </c>
      <c r="N618" s="7" t="s">
        <v>1277</v>
      </c>
      <c r="O618" s="7" t="s">
        <v>44</v>
      </c>
      <c r="P618" s="7" t="s">
        <v>2876</v>
      </c>
      <c r="Q618" s="8" t="s">
        <v>58</v>
      </c>
      <c r="R618" s="7" t="s">
        <v>33</v>
      </c>
      <c r="S618" s="7" t="s">
        <v>34</v>
      </c>
      <c r="T618" s="10">
        <v>0</v>
      </c>
      <c r="U618" s="7"/>
      <c r="V618" s="10">
        <v>0</v>
      </c>
      <c r="W618" s="7" t="s">
        <v>35</v>
      </c>
      <c r="X618" s="10" t="s">
        <v>36</v>
      </c>
      <c r="Y618" s="7" t="s">
        <v>37</v>
      </c>
    </row>
    <row x14ac:dyDescent="0.25" r="619" customHeight="1" ht="18.75">
      <c r="A619" s="11">
        <v>74216833</v>
      </c>
      <c r="B619" s="12">
        <v>1804</v>
      </c>
      <c r="C619" s="13" t="s">
        <v>3007</v>
      </c>
      <c r="D619" s="13" t="s">
        <v>3008</v>
      </c>
      <c r="E619" s="14">
        <v>74316833</v>
      </c>
      <c r="F619" s="14">
        <v>1804</v>
      </c>
      <c r="G619" s="13" t="s">
        <v>27</v>
      </c>
      <c r="H619" s="13" t="s">
        <v>3009</v>
      </c>
      <c r="I619" s="13" t="s">
        <v>3010</v>
      </c>
      <c r="J619" s="14">
        <f>74952408424</f>
      </c>
      <c r="K619" s="14">
        <v>6602</v>
      </c>
      <c r="L619" s="13" t="s">
        <v>1276</v>
      </c>
      <c r="M619" s="14">
        <v>105</v>
      </c>
      <c r="N619" s="13" t="s">
        <v>1277</v>
      </c>
      <c r="O619" s="13" t="s">
        <v>96</v>
      </c>
      <c r="P619" s="13" t="s">
        <v>2197</v>
      </c>
      <c r="Q619" s="14" t="s">
        <v>182</v>
      </c>
      <c r="R619" s="13" t="s">
        <v>33</v>
      </c>
      <c r="S619" s="13" t="s">
        <v>34</v>
      </c>
      <c r="T619" s="15">
        <v>0</v>
      </c>
      <c r="U619" s="13" t="s">
        <v>35</v>
      </c>
      <c r="V619" s="15" t="s">
        <v>64</v>
      </c>
      <c r="W619" s="13" t="s">
        <v>48</v>
      </c>
      <c r="X619" s="15" t="s">
        <v>65</v>
      </c>
      <c r="Y619" s="13" t="s">
        <v>37</v>
      </c>
    </row>
    <row x14ac:dyDescent="0.25" r="620" customHeight="1" ht="18.75">
      <c r="A620" s="5">
        <v>74216848</v>
      </c>
      <c r="B620" s="6">
        <v>1805</v>
      </c>
      <c r="C620" s="7" t="s">
        <v>3011</v>
      </c>
      <c r="D620" s="7" t="s">
        <v>3012</v>
      </c>
      <c r="E620" s="8">
        <v>74316848</v>
      </c>
      <c r="F620" s="8">
        <v>1805</v>
      </c>
      <c r="G620" s="7" t="s">
        <v>27</v>
      </c>
      <c r="H620" s="7" t="s">
        <v>3013</v>
      </c>
      <c r="I620" s="7" t="s">
        <v>3014</v>
      </c>
      <c r="J620" s="8">
        <f>74952408424</f>
      </c>
      <c r="K620" s="8">
        <v>9416</v>
      </c>
      <c r="L620" s="7" t="s">
        <v>1276</v>
      </c>
      <c r="M620" s="8">
        <v>105</v>
      </c>
      <c r="N620" s="7" t="s">
        <v>1277</v>
      </c>
      <c r="O620" s="7" t="s">
        <v>73</v>
      </c>
      <c r="P620" s="7" t="s">
        <v>2181</v>
      </c>
      <c r="Q620" s="8" t="s">
        <v>182</v>
      </c>
      <c r="R620" s="7" t="s">
        <v>33</v>
      </c>
      <c r="S620" s="7" t="s">
        <v>34</v>
      </c>
      <c r="T620" s="10">
        <v>0</v>
      </c>
      <c r="U620" s="7"/>
      <c r="V620" s="10">
        <v>0</v>
      </c>
      <c r="W620" s="7" t="s">
        <v>48</v>
      </c>
      <c r="X620" s="10" t="s">
        <v>36</v>
      </c>
      <c r="Y620" s="7" t="s">
        <v>37</v>
      </c>
    </row>
    <row x14ac:dyDescent="0.25" r="621" customHeight="1" ht="18.75">
      <c r="A621" s="11">
        <v>74220417</v>
      </c>
      <c r="B621" s="12">
        <v>1806</v>
      </c>
      <c r="C621" s="13" t="s">
        <v>3015</v>
      </c>
      <c r="D621" s="13" t="s">
        <v>3016</v>
      </c>
      <c r="E621" s="14">
        <v>74320417</v>
      </c>
      <c r="F621" s="14">
        <v>1806</v>
      </c>
      <c r="G621" s="13" t="s">
        <v>27</v>
      </c>
      <c r="H621" s="13" t="s">
        <v>3017</v>
      </c>
      <c r="I621" s="13" t="s">
        <v>3018</v>
      </c>
      <c r="J621" s="14">
        <f>74952408424</f>
      </c>
      <c r="K621" s="14">
        <v>6368</v>
      </c>
      <c r="L621" s="13" t="s">
        <v>1276</v>
      </c>
      <c r="M621" s="14">
        <v>105</v>
      </c>
      <c r="N621" s="13" t="s">
        <v>1277</v>
      </c>
      <c r="O621" s="13" t="s">
        <v>73</v>
      </c>
      <c r="P621" s="13" t="s">
        <v>1532</v>
      </c>
      <c r="Q621" s="14" t="s">
        <v>1533</v>
      </c>
      <c r="R621" s="13" t="s">
        <v>33</v>
      </c>
      <c r="S621" s="13" t="s">
        <v>34</v>
      </c>
      <c r="T621" s="15">
        <v>0</v>
      </c>
      <c r="U621" s="13"/>
      <c r="V621" s="15">
        <v>0</v>
      </c>
      <c r="W621" s="13" t="s">
        <v>35</v>
      </c>
      <c r="X621" s="15" t="s">
        <v>36</v>
      </c>
      <c r="Y621" s="13" t="s">
        <v>59</v>
      </c>
    </row>
    <row x14ac:dyDescent="0.25" r="622" customHeight="1" ht="18.75">
      <c r="A622" s="5">
        <v>74220422</v>
      </c>
      <c r="B622" s="6">
        <v>1807</v>
      </c>
      <c r="C622" s="7" t="s">
        <v>3019</v>
      </c>
      <c r="D622" s="7" t="s">
        <v>3020</v>
      </c>
      <c r="E622" s="8">
        <v>74320422</v>
      </c>
      <c r="F622" s="8">
        <v>1807</v>
      </c>
      <c r="G622" s="7" t="s">
        <v>27</v>
      </c>
      <c r="H622" s="7" t="s">
        <v>3021</v>
      </c>
      <c r="I622" s="7" t="s">
        <v>3022</v>
      </c>
      <c r="J622" s="7" t="s">
        <v>467</v>
      </c>
      <c r="K622" s="8">
        <v>6044</v>
      </c>
      <c r="L622" s="7" t="s">
        <v>1276</v>
      </c>
      <c r="M622" s="8">
        <v>105</v>
      </c>
      <c r="N622" s="7" t="s">
        <v>1277</v>
      </c>
      <c r="O622" s="7" t="s">
        <v>82</v>
      </c>
      <c r="P622" s="7" t="s">
        <v>2486</v>
      </c>
      <c r="Q622" s="8" t="s">
        <v>58</v>
      </c>
      <c r="R622" s="7" t="s">
        <v>33</v>
      </c>
      <c r="S622" s="7" t="s">
        <v>34</v>
      </c>
      <c r="T622" s="10">
        <v>0</v>
      </c>
      <c r="U622" s="7"/>
      <c r="V622" s="10">
        <v>0</v>
      </c>
      <c r="W622" s="7" t="s">
        <v>35</v>
      </c>
      <c r="X622" s="10" t="s">
        <v>36</v>
      </c>
      <c r="Y622" s="7" t="s">
        <v>59</v>
      </c>
    </row>
    <row x14ac:dyDescent="0.25" r="623" customHeight="1" ht="18.75">
      <c r="A623" s="11">
        <v>74220425</v>
      </c>
      <c r="B623" s="12">
        <v>1808</v>
      </c>
      <c r="C623" s="13" t="s">
        <v>3023</v>
      </c>
      <c r="D623" s="13" t="s">
        <v>3024</v>
      </c>
      <c r="E623" s="14">
        <v>74320425</v>
      </c>
      <c r="F623" s="14">
        <v>1808</v>
      </c>
      <c r="G623" s="13" t="s">
        <v>27</v>
      </c>
      <c r="H623" s="13" t="s">
        <v>3025</v>
      </c>
      <c r="I623" s="13" t="s">
        <v>3026</v>
      </c>
      <c r="J623" s="14">
        <f>74952408424</f>
      </c>
      <c r="K623" s="14">
        <v>6408</v>
      </c>
      <c r="L623" s="13" t="s">
        <v>1276</v>
      </c>
      <c r="M623" s="14">
        <v>105</v>
      </c>
      <c r="N623" s="13" t="s">
        <v>1277</v>
      </c>
      <c r="O623" s="13" t="s">
        <v>73</v>
      </c>
      <c r="P623" s="13" t="s">
        <v>2181</v>
      </c>
      <c r="Q623" s="14" t="s">
        <v>182</v>
      </c>
      <c r="R623" s="13" t="s">
        <v>33</v>
      </c>
      <c r="S623" s="13" t="s">
        <v>34</v>
      </c>
      <c r="T623" s="15">
        <v>0</v>
      </c>
      <c r="U623" s="13" t="s">
        <v>48</v>
      </c>
      <c r="V623" s="15" t="s">
        <v>64</v>
      </c>
      <c r="W623" s="13" t="s">
        <v>48</v>
      </c>
      <c r="X623" s="15" t="s">
        <v>36</v>
      </c>
      <c r="Y623" s="13" t="s">
        <v>126</v>
      </c>
    </row>
    <row x14ac:dyDescent="0.25" r="624" customHeight="1" ht="18.75">
      <c r="A624" s="5">
        <v>74220426</v>
      </c>
      <c r="B624" s="6">
        <v>1809</v>
      </c>
      <c r="C624" s="7" t="s">
        <v>3027</v>
      </c>
      <c r="D624" s="7" t="s">
        <v>3028</v>
      </c>
      <c r="E624" s="8">
        <v>74320426</v>
      </c>
      <c r="F624" s="8">
        <v>1809</v>
      </c>
      <c r="G624" s="7" t="s">
        <v>27</v>
      </c>
      <c r="H624" s="7" t="s">
        <v>3029</v>
      </c>
      <c r="I624" s="7" t="s">
        <v>3030</v>
      </c>
      <c r="J624" s="8">
        <f>74952408424</f>
      </c>
      <c r="K624" s="8">
        <v>6256</v>
      </c>
      <c r="L624" s="7" t="s">
        <v>1276</v>
      </c>
      <c r="M624" s="8">
        <v>105</v>
      </c>
      <c r="N624" s="7" t="s">
        <v>1277</v>
      </c>
      <c r="O624" s="7" t="s">
        <v>96</v>
      </c>
      <c r="P624" s="7" t="s">
        <v>1799</v>
      </c>
      <c r="Q624" s="8" t="s">
        <v>3031</v>
      </c>
      <c r="R624" s="7" t="s">
        <v>33</v>
      </c>
      <c r="S624" s="7" t="s">
        <v>34</v>
      </c>
      <c r="T624" s="10">
        <v>0</v>
      </c>
      <c r="U624" s="7"/>
      <c r="V624" s="10">
        <v>0</v>
      </c>
      <c r="W624" s="7" t="s">
        <v>35</v>
      </c>
      <c r="X624" s="10" t="s">
        <v>36</v>
      </c>
      <c r="Y624" s="7" t="s">
        <v>84</v>
      </c>
    </row>
    <row x14ac:dyDescent="0.25" r="625" customHeight="1" ht="18.75">
      <c r="A625" s="11">
        <v>74220433</v>
      </c>
      <c r="B625" s="12">
        <v>1810</v>
      </c>
      <c r="C625" s="13" t="s">
        <v>3032</v>
      </c>
      <c r="D625" s="13" t="s">
        <v>3033</v>
      </c>
      <c r="E625" s="14">
        <v>74320433</v>
      </c>
      <c r="F625" s="14">
        <v>1810</v>
      </c>
      <c r="G625" s="13" t="s">
        <v>27</v>
      </c>
      <c r="H625" s="13" t="s">
        <v>3034</v>
      </c>
      <c r="I625" s="13" t="s">
        <v>3035</v>
      </c>
      <c r="J625" s="14">
        <f>74952408424</f>
      </c>
      <c r="K625" s="14">
        <v>6254</v>
      </c>
      <c r="L625" s="13" t="s">
        <v>1276</v>
      </c>
      <c r="M625" s="14">
        <v>105</v>
      </c>
      <c r="N625" s="13" t="s">
        <v>1277</v>
      </c>
      <c r="O625" s="13" t="s">
        <v>96</v>
      </c>
      <c r="P625" s="13" t="s">
        <v>1799</v>
      </c>
      <c r="Q625" s="14" t="s">
        <v>3036</v>
      </c>
      <c r="R625" s="13" t="s">
        <v>33</v>
      </c>
      <c r="S625" s="13" t="s">
        <v>34</v>
      </c>
      <c r="T625" s="15">
        <v>0</v>
      </c>
      <c r="U625" s="13"/>
      <c r="V625" s="15">
        <v>0</v>
      </c>
      <c r="W625" s="13" t="s">
        <v>35</v>
      </c>
      <c r="X625" s="15" t="s">
        <v>36</v>
      </c>
      <c r="Y625" s="13" t="s">
        <v>37</v>
      </c>
    </row>
    <row x14ac:dyDescent="0.25" r="626" customHeight="1" ht="18.75">
      <c r="A626" s="5">
        <v>74220434</v>
      </c>
      <c r="B626" s="6">
        <v>1811</v>
      </c>
      <c r="C626" s="7" t="s">
        <v>3037</v>
      </c>
      <c r="D626" s="7" t="s">
        <v>3038</v>
      </c>
      <c r="E626" s="8">
        <v>74320434</v>
      </c>
      <c r="F626" s="8">
        <v>1811</v>
      </c>
      <c r="G626" s="7" t="s">
        <v>27</v>
      </c>
      <c r="H626" s="7" t="s">
        <v>3039</v>
      </c>
      <c r="I626" s="7" t="s">
        <v>3040</v>
      </c>
      <c r="J626" s="8">
        <f>74952408424</f>
      </c>
      <c r="K626" s="8">
        <v>6418</v>
      </c>
      <c r="L626" s="7" t="s">
        <v>1276</v>
      </c>
      <c r="M626" s="8">
        <v>105</v>
      </c>
      <c r="N626" s="7" t="s">
        <v>1277</v>
      </c>
      <c r="O626" s="7" t="s">
        <v>73</v>
      </c>
      <c r="P626" s="7" t="s">
        <v>2181</v>
      </c>
      <c r="Q626" s="8" t="s">
        <v>182</v>
      </c>
      <c r="R626" s="7" t="s">
        <v>33</v>
      </c>
      <c r="S626" s="7" t="s">
        <v>34</v>
      </c>
      <c r="T626" s="10">
        <v>0</v>
      </c>
      <c r="U626" s="7" t="s">
        <v>48</v>
      </c>
      <c r="V626" s="10" t="s">
        <v>125</v>
      </c>
      <c r="W626" s="7" t="s">
        <v>35</v>
      </c>
      <c r="X626" s="10" t="s">
        <v>36</v>
      </c>
      <c r="Y626" s="7" t="s">
        <v>84</v>
      </c>
    </row>
    <row x14ac:dyDescent="0.25" r="627" customHeight="1" ht="18.75">
      <c r="A627" s="11">
        <v>74220437</v>
      </c>
      <c r="B627" s="12">
        <v>1812</v>
      </c>
      <c r="C627" s="13" t="s">
        <v>3041</v>
      </c>
      <c r="D627" s="13" t="s">
        <v>3042</v>
      </c>
      <c r="E627" s="14">
        <v>74320437</v>
      </c>
      <c r="F627" s="14">
        <v>1812</v>
      </c>
      <c r="G627" s="13" t="s">
        <v>27</v>
      </c>
      <c r="H627" s="13" t="s">
        <v>3043</v>
      </c>
      <c r="I627" s="13" t="s">
        <v>3044</v>
      </c>
      <c r="J627" s="14">
        <f>74952408424</f>
      </c>
      <c r="K627" s="14">
        <v>6072</v>
      </c>
      <c r="L627" s="13" t="s">
        <v>1276</v>
      </c>
      <c r="M627" s="14">
        <v>105</v>
      </c>
      <c r="N627" s="13" t="s">
        <v>1277</v>
      </c>
      <c r="O627" s="13" t="s">
        <v>82</v>
      </c>
      <c r="P627" s="13" t="s">
        <v>3045</v>
      </c>
      <c r="Q627" s="14" t="s">
        <v>58</v>
      </c>
      <c r="R627" s="13" t="s">
        <v>33</v>
      </c>
      <c r="S627" s="13" t="s">
        <v>34</v>
      </c>
      <c r="T627" s="15">
        <v>0</v>
      </c>
      <c r="U627" s="13" t="s">
        <v>48</v>
      </c>
      <c r="V627" s="15" t="s">
        <v>214</v>
      </c>
      <c r="W627" s="13" t="s">
        <v>48</v>
      </c>
      <c r="X627" s="15" t="s">
        <v>65</v>
      </c>
      <c r="Y627" s="13" t="s">
        <v>84</v>
      </c>
    </row>
    <row x14ac:dyDescent="0.25" r="628" customHeight="1" ht="18.75">
      <c r="A628" s="5">
        <v>74220438</v>
      </c>
      <c r="B628" s="6">
        <v>1813</v>
      </c>
      <c r="C628" s="7" t="s">
        <v>3046</v>
      </c>
      <c r="D628" s="7" t="s">
        <v>3047</v>
      </c>
      <c r="E628" s="8">
        <v>74320438</v>
      </c>
      <c r="F628" s="8">
        <v>1813</v>
      </c>
      <c r="G628" s="7" t="s">
        <v>27</v>
      </c>
      <c r="H628" s="7" t="s">
        <v>3048</v>
      </c>
      <c r="I628" s="7" t="s">
        <v>3049</v>
      </c>
      <c r="J628" s="8">
        <f>74952408424</f>
      </c>
      <c r="K628" s="8">
        <v>6202</v>
      </c>
      <c r="L628" s="7" t="s">
        <v>1276</v>
      </c>
      <c r="M628" s="8">
        <v>105</v>
      </c>
      <c r="N628" s="7" t="s">
        <v>1277</v>
      </c>
      <c r="O628" s="7" t="s">
        <v>44</v>
      </c>
      <c r="P628" s="7" t="s">
        <v>3050</v>
      </c>
      <c r="Q628" s="8" t="s">
        <v>58</v>
      </c>
      <c r="R628" s="7" t="s">
        <v>33</v>
      </c>
      <c r="S628" s="7" t="s">
        <v>34</v>
      </c>
      <c r="T628" s="10">
        <v>0</v>
      </c>
      <c r="U628" s="7" t="s">
        <v>48</v>
      </c>
      <c r="V628" s="10" t="s">
        <v>214</v>
      </c>
      <c r="W628" s="7" t="s">
        <v>35</v>
      </c>
      <c r="X628" s="10" t="s">
        <v>36</v>
      </c>
      <c r="Y628" s="7" t="s">
        <v>59</v>
      </c>
    </row>
    <row x14ac:dyDescent="0.25" r="629" customHeight="1" ht="18.75">
      <c r="A629" s="11">
        <v>74220439</v>
      </c>
      <c r="B629" s="12">
        <v>1814</v>
      </c>
      <c r="C629" s="13" t="s">
        <v>3051</v>
      </c>
      <c r="D629" s="13" t="s">
        <v>3052</v>
      </c>
      <c r="E629" s="14">
        <v>74320439</v>
      </c>
      <c r="F629" s="14">
        <v>1814</v>
      </c>
      <c r="G629" s="13" t="s">
        <v>27</v>
      </c>
      <c r="H629" s="13" t="s">
        <v>3053</v>
      </c>
      <c r="I629" s="13" t="s">
        <v>3054</v>
      </c>
      <c r="J629" s="14">
        <f>74952408424</f>
      </c>
      <c r="K629" s="14">
        <v>6136</v>
      </c>
      <c r="L629" s="13" t="s">
        <v>1276</v>
      </c>
      <c r="M629" s="14">
        <v>105</v>
      </c>
      <c r="N629" s="13" t="s">
        <v>1277</v>
      </c>
      <c r="O629" s="13" t="s">
        <v>82</v>
      </c>
      <c r="P629" s="13" t="s">
        <v>3055</v>
      </c>
      <c r="Q629" s="14" t="s">
        <v>3056</v>
      </c>
      <c r="R629" s="13" t="s">
        <v>33</v>
      </c>
      <c r="S629" s="13" t="s">
        <v>34</v>
      </c>
      <c r="T629" s="15">
        <v>0</v>
      </c>
      <c r="U629" s="13" t="s">
        <v>48</v>
      </c>
      <c r="V629" s="15" t="s">
        <v>125</v>
      </c>
      <c r="W629" s="13" t="s">
        <v>35</v>
      </c>
      <c r="X629" s="15" t="s">
        <v>36</v>
      </c>
      <c r="Y629" s="13" t="s">
        <v>126</v>
      </c>
    </row>
    <row x14ac:dyDescent="0.25" r="630" customHeight="1" ht="18.75">
      <c r="A630" s="5">
        <v>74220447</v>
      </c>
      <c r="B630" s="6">
        <v>1815</v>
      </c>
      <c r="C630" s="7" t="s">
        <v>3057</v>
      </c>
      <c r="D630" s="7" t="s">
        <v>3058</v>
      </c>
      <c r="E630" s="8">
        <v>74320447</v>
      </c>
      <c r="F630" s="8">
        <v>1815</v>
      </c>
      <c r="G630" s="7" t="s">
        <v>27</v>
      </c>
      <c r="H630" s="7" t="s">
        <v>3059</v>
      </c>
      <c r="I630" s="7" t="s">
        <v>3060</v>
      </c>
      <c r="J630" s="8">
        <f>74952408424</f>
      </c>
      <c r="K630" s="8">
        <v>6206</v>
      </c>
      <c r="L630" s="7" t="s">
        <v>1276</v>
      </c>
      <c r="M630" s="8">
        <v>105</v>
      </c>
      <c r="N630" s="7" t="s">
        <v>1277</v>
      </c>
      <c r="O630" s="7" t="s">
        <v>44</v>
      </c>
      <c r="P630" s="7" t="s">
        <v>3050</v>
      </c>
      <c r="Q630" s="8" t="s">
        <v>58</v>
      </c>
      <c r="R630" s="7" t="s">
        <v>33</v>
      </c>
      <c r="S630" s="7" t="s">
        <v>34</v>
      </c>
      <c r="T630" s="10">
        <v>0</v>
      </c>
      <c r="U630" s="7" t="s">
        <v>48</v>
      </c>
      <c r="V630" s="10" t="s">
        <v>125</v>
      </c>
      <c r="W630" s="7" t="s">
        <v>35</v>
      </c>
      <c r="X630" s="10" t="s">
        <v>65</v>
      </c>
      <c r="Y630" s="7" t="s">
        <v>126</v>
      </c>
    </row>
    <row x14ac:dyDescent="0.25" r="631" customHeight="1" ht="18.75">
      <c r="A631" s="11">
        <v>74220456</v>
      </c>
      <c r="B631" s="12">
        <v>1816</v>
      </c>
      <c r="C631" s="13" t="s">
        <v>3061</v>
      </c>
      <c r="D631" s="13" t="s">
        <v>3062</v>
      </c>
      <c r="E631" s="14">
        <v>74320456</v>
      </c>
      <c r="F631" s="14">
        <v>1816</v>
      </c>
      <c r="G631" s="13" t="s">
        <v>27</v>
      </c>
      <c r="H631" s="13" t="s">
        <v>3063</v>
      </c>
      <c r="I631" s="13" t="s">
        <v>3064</v>
      </c>
      <c r="J631" s="14">
        <f>74952408424</f>
      </c>
      <c r="K631" s="14">
        <v>6604</v>
      </c>
      <c r="L631" s="13" t="s">
        <v>1276</v>
      </c>
      <c r="M631" s="14">
        <v>105</v>
      </c>
      <c r="N631" s="13" t="s">
        <v>1277</v>
      </c>
      <c r="O631" s="13" t="s">
        <v>96</v>
      </c>
      <c r="P631" s="13" t="s">
        <v>2197</v>
      </c>
      <c r="Q631" s="14" t="s">
        <v>182</v>
      </c>
      <c r="R631" s="13" t="s">
        <v>33</v>
      </c>
      <c r="S631" s="13" t="s">
        <v>34</v>
      </c>
      <c r="T631" s="15">
        <v>0</v>
      </c>
      <c r="U631" s="13"/>
      <c r="V631" s="15">
        <v>0</v>
      </c>
      <c r="W631" s="13" t="s">
        <v>35</v>
      </c>
      <c r="X631" s="15" t="s">
        <v>65</v>
      </c>
      <c r="Y631" s="13" t="s">
        <v>37</v>
      </c>
    </row>
    <row x14ac:dyDescent="0.25" r="632" customHeight="1" ht="18.75">
      <c r="A632" s="5">
        <v>74220458</v>
      </c>
      <c r="B632" s="6">
        <v>1817</v>
      </c>
      <c r="C632" s="7" t="s">
        <v>3065</v>
      </c>
      <c r="D632" s="7" t="s">
        <v>3066</v>
      </c>
      <c r="E632" s="8">
        <v>74320458</v>
      </c>
      <c r="F632" s="8">
        <v>1817</v>
      </c>
      <c r="G632" s="7" t="s">
        <v>27</v>
      </c>
      <c r="H632" s="7" t="s">
        <v>3067</v>
      </c>
      <c r="I632" s="7" t="s">
        <v>3068</v>
      </c>
      <c r="J632" s="8">
        <f>74952408424</f>
      </c>
      <c r="K632" s="8">
        <v>6372</v>
      </c>
      <c r="L632" s="7" t="s">
        <v>1276</v>
      </c>
      <c r="M632" s="8">
        <v>105</v>
      </c>
      <c r="N632" s="7" t="s">
        <v>1277</v>
      </c>
      <c r="O632" s="7" t="s">
        <v>73</v>
      </c>
      <c r="P632" s="7" t="s">
        <v>1532</v>
      </c>
      <c r="Q632" s="8" t="s">
        <v>1533</v>
      </c>
      <c r="R632" s="7" t="s">
        <v>33</v>
      </c>
      <c r="S632" s="7" t="s">
        <v>34</v>
      </c>
      <c r="T632" s="10">
        <v>0</v>
      </c>
      <c r="U632" s="7"/>
      <c r="V632" s="10">
        <v>0</v>
      </c>
      <c r="W632" s="7" t="s">
        <v>35</v>
      </c>
      <c r="X632" s="10" t="s">
        <v>36</v>
      </c>
      <c r="Y632" s="7" t="s">
        <v>37</v>
      </c>
    </row>
    <row x14ac:dyDescent="0.25" r="633" customHeight="1" ht="18.75">
      <c r="A633" s="11">
        <v>74220465</v>
      </c>
      <c r="B633" s="12">
        <v>1818</v>
      </c>
      <c r="C633" s="13" t="s">
        <v>3069</v>
      </c>
      <c r="D633" s="13" t="s">
        <v>3070</v>
      </c>
      <c r="E633" s="14">
        <v>74320465</v>
      </c>
      <c r="F633" s="14">
        <v>1818</v>
      </c>
      <c r="G633" s="13" t="s">
        <v>27</v>
      </c>
      <c r="H633" s="13" t="s">
        <v>3071</v>
      </c>
      <c r="I633" s="13" t="s">
        <v>3072</v>
      </c>
      <c r="J633" s="14">
        <f>74952408424</f>
      </c>
      <c r="K633" s="14">
        <v>6048</v>
      </c>
      <c r="L633" s="13" t="s">
        <v>1276</v>
      </c>
      <c r="M633" s="14">
        <v>105</v>
      </c>
      <c r="N633" s="13" t="s">
        <v>1277</v>
      </c>
      <c r="O633" s="13" t="s">
        <v>32</v>
      </c>
      <c r="P633" s="13" t="s">
        <v>32</v>
      </c>
      <c r="Q633" s="14" t="s">
        <v>58</v>
      </c>
      <c r="R633" s="13" t="s">
        <v>33</v>
      </c>
      <c r="S633" s="13" t="s">
        <v>34</v>
      </c>
      <c r="T633" s="15">
        <v>0</v>
      </c>
      <c r="U633" s="13" t="s">
        <v>48</v>
      </c>
      <c r="V633" s="15" t="s">
        <v>214</v>
      </c>
      <c r="W633" s="13" t="s">
        <v>35</v>
      </c>
      <c r="X633" s="15" t="s">
        <v>36</v>
      </c>
      <c r="Y633" s="13" t="s">
        <v>37</v>
      </c>
    </row>
    <row x14ac:dyDescent="0.25" r="634" customHeight="1" ht="18.75">
      <c r="A634" s="5">
        <v>74220466</v>
      </c>
      <c r="B634" s="6">
        <v>1819</v>
      </c>
      <c r="C634" s="7" t="s">
        <v>3073</v>
      </c>
      <c r="D634" s="7" t="s">
        <v>3074</v>
      </c>
      <c r="E634" s="8">
        <v>74320466</v>
      </c>
      <c r="F634" s="8">
        <v>1819</v>
      </c>
      <c r="G634" s="7" t="s">
        <v>27</v>
      </c>
      <c r="H634" s="7" t="s">
        <v>3075</v>
      </c>
      <c r="I634" s="7" t="s">
        <v>3076</v>
      </c>
      <c r="J634" s="8">
        <f>74952408424</f>
      </c>
      <c r="K634" s="8">
        <v>6134</v>
      </c>
      <c r="L634" s="7" t="s">
        <v>1276</v>
      </c>
      <c r="M634" s="8">
        <v>105</v>
      </c>
      <c r="N634" s="7" t="s">
        <v>1277</v>
      </c>
      <c r="O634" s="7" t="s">
        <v>82</v>
      </c>
      <c r="P634" s="7" t="s">
        <v>268</v>
      </c>
      <c r="Q634" s="8" t="s">
        <v>58</v>
      </c>
      <c r="R634" s="7" t="s">
        <v>33</v>
      </c>
      <c r="S634" s="7" t="s">
        <v>34</v>
      </c>
      <c r="T634" s="10">
        <v>0</v>
      </c>
      <c r="U634" s="7"/>
      <c r="V634" s="10">
        <v>0</v>
      </c>
      <c r="W634" s="7" t="s">
        <v>35</v>
      </c>
      <c r="X634" s="10" t="s">
        <v>36</v>
      </c>
      <c r="Y634" s="7" t="s">
        <v>37</v>
      </c>
    </row>
    <row x14ac:dyDescent="0.25" r="635" customHeight="1" ht="18.75">
      <c r="A635" s="11">
        <v>74220479</v>
      </c>
      <c r="B635" s="12">
        <v>1820</v>
      </c>
      <c r="C635" s="13" t="s">
        <v>3077</v>
      </c>
      <c r="D635" s="13" t="s">
        <v>3078</v>
      </c>
      <c r="E635" s="14">
        <v>74320479</v>
      </c>
      <c r="F635" s="14">
        <v>1820</v>
      </c>
      <c r="G635" s="13" t="s">
        <v>27</v>
      </c>
      <c r="H635" s="13" t="s">
        <v>3079</v>
      </c>
      <c r="I635" s="13" t="s">
        <v>3080</v>
      </c>
      <c r="J635" s="14">
        <f>74952408424</f>
      </c>
      <c r="K635" s="14">
        <v>6370</v>
      </c>
      <c r="L635" s="13" t="s">
        <v>1276</v>
      </c>
      <c r="M635" s="14">
        <v>105</v>
      </c>
      <c r="N635" s="13" t="s">
        <v>1277</v>
      </c>
      <c r="O635" s="13" t="s">
        <v>73</v>
      </c>
      <c r="P635" s="13" t="s">
        <v>1532</v>
      </c>
      <c r="Q635" s="14" t="s">
        <v>1533</v>
      </c>
      <c r="R635" s="13" t="s">
        <v>33</v>
      </c>
      <c r="S635" s="13" t="s">
        <v>34</v>
      </c>
      <c r="T635" s="15">
        <v>0</v>
      </c>
      <c r="U635" s="13"/>
      <c r="V635" s="15">
        <v>0</v>
      </c>
      <c r="W635" s="13" t="s">
        <v>35</v>
      </c>
      <c r="X635" s="15" t="s">
        <v>36</v>
      </c>
      <c r="Y635" s="13" t="s">
        <v>37</v>
      </c>
    </row>
    <row x14ac:dyDescent="0.25" r="636" customHeight="1" ht="18.75">
      <c r="A636" s="5">
        <v>74220480</v>
      </c>
      <c r="B636" s="6">
        <v>1821</v>
      </c>
      <c r="C636" s="7" t="s">
        <v>3081</v>
      </c>
      <c r="D636" s="7" t="s">
        <v>3082</v>
      </c>
      <c r="E636" s="8">
        <v>74320480</v>
      </c>
      <c r="F636" s="8">
        <v>1821</v>
      </c>
      <c r="G636" s="7" t="s">
        <v>27</v>
      </c>
      <c r="H636" s="7" t="s">
        <v>3083</v>
      </c>
      <c r="I636" s="7" t="s">
        <v>3084</v>
      </c>
      <c r="J636" s="8">
        <f>74952408424</f>
      </c>
      <c r="K636" s="8">
        <v>6308</v>
      </c>
      <c r="L636" s="7" t="s">
        <v>1276</v>
      </c>
      <c r="M636" s="8">
        <v>105</v>
      </c>
      <c r="N636" s="7" t="s">
        <v>1277</v>
      </c>
      <c r="O636" s="7" t="s">
        <v>73</v>
      </c>
      <c r="P636" s="7" t="s">
        <v>1872</v>
      </c>
      <c r="Q636" s="8" t="s">
        <v>3085</v>
      </c>
      <c r="R636" s="7" t="s">
        <v>33</v>
      </c>
      <c r="S636" s="7" t="s">
        <v>34</v>
      </c>
      <c r="T636" s="10">
        <v>0</v>
      </c>
      <c r="U636" s="7" t="s">
        <v>48</v>
      </c>
      <c r="V636" s="10" t="s">
        <v>125</v>
      </c>
      <c r="W636" s="7" t="s">
        <v>48</v>
      </c>
      <c r="X636" s="10" t="s">
        <v>36</v>
      </c>
      <c r="Y636" s="7" t="s">
        <v>126</v>
      </c>
    </row>
    <row x14ac:dyDescent="0.25" r="637" customHeight="1" ht="18.75">
      <c r="A637" s="11">
        <v>74220484</v>
      </c>
      <c r="B637" s="12">
        <v>1823</v>
      </c>
      <c r="C637" s="13" t="s">
        <v>3086</v>
      </c>
      <c r="D637" s="13" t="s">
        <v>3087</v>
      </c>
      <c r="E637" s="14">
        <v>74320484</v>
      </c>
      <c r="F637" s="14">
        <v>1823</v>
      </c>
      <c r="G637" s="13" t="s">
        <v>27</v>
      </c>
      <c r="H637" s="13" t="s">
        <v>3088</v>
      </c>
      <c r="I637" s="13" t="s">
        <v>3089</v>
      </c>
      <c r="J637" s="14">
        <f>74952408424</f>
      </c>
      <c r="K637" s="14">
        <v>6420</v>
      </c>
      <c r="L637" s="13" t="s">
        <v>1276</v>
      </c>
      <c r="M637" s="14">
        <v>105</v>
      </c>
      <c r="N637" s="13" t="s">
        <v>1277</v>
      </c>
      <c r="O637" s="13" t="s">
        <v>73</v>
      </c>
      <c r="P637" s="13" t="s">
        <v>2181</v>
      </c>
      <c r="Q637" s="14" t="s">
        <v>182</v>
      </c>
      <c r="R637" s="13" t="s">
        <v>33</v>
      </c>
      <c r="S637" s="13" t="s">
        <v>34</v>
      </c>
      <c r="T637" s="15">
        <v>0</v>
      </c>
      <c r="U637" s="13" t="s">
        <v>48</v>
      </c>
      <c r="V637" s="15" t="s">
        <v>125</v>
      </c>
      <c r="W637" s="13" t="s">
        <v>48</v>
      </c>
      <c r="X637" s="15" t="s">
        <v>36</v>
      </c>
      <c r="Y637" s="13" t="s">
        <v>84</v>
      </c>
    </row>
    <row x14ac:dyDescent="0.25" r="638" customHeight="1" ht="18.75">
      <c r="A638" s="5">
        <v>74220409</v>
      </c>
      <c r="B638" s="6">
        <v>1824</v>
      </c>
      <c r="C638" s="7" t="s">
        <v>3090</v>
      </c>
      <c r="D638" s="7" t="s">
        <v>3091</v>
      </c>
      <c r="E638" s="8">
        <v>74320409</v>
      </c>
      <c r="F638" s="8">
        <v>1824</v>
      </c>
      <c r="G638" s="7" t="s">
        <v>27</v>
      </c>
      <c r="H638" s="7" t="s">
        <v>3092</v>
      </c>
      <c r="I638" s="7" t="s">
        <v>3093</v>
      </c>
      <c r="J638" s="8">
        <f>74952408424</f>
      </c>
      <c r="K638" s="8">
        <v>6040</v>
      </c>
      <c r="L638" s="7" t="s">
        <v>1276</v>
      </c>
      <c r="M638" s="8">
        <v>105</v>
      </c>
      <c r="N638" s="7" t="s">
        <v>1277</v>
      </c>
      <c r="O638" s="7" t="s">
        <v>82</v>
      </c>
      <c r="P638" s="7" t="s">
        <v>3094</v>
      </c>
      <c r="Q638" s="8" t="s">
        <v>58</v>
      </c>
      <c r="R638" s="7" t="s">
        <v>33</v>
      </c>
      <c r="S638" s="7" t="s">
        <v>34</v>
      </c>
      <c r="T638" s="10">
        <v>0</v>
      </c>
      <c r="U638" s="7"/>
      <c r="V638" s="10">
        <v>0</v>
      </c>
      <c r="W638" s="7" t="s">
        <v>35</v>
      </c>
      <c r="X638" s="10" t="s">
        <v>36</v>
      </c>
      <c r="Y638" s="7" t="s">
        <v>59</v>
      </c>
    </row>
    <row x14ac:dyDescent="0.25" r="639" customHeight="1" ht="18.75">
      <c r="A639" s="11">
        <v>74220486</v>
      </c>
      <c r="B639" s="12">
        <v>1825</v>
      </c>
      <c r="C639" s="13" t="s">
        <v>3095</v>
      </c>
      <c r="D639" s="13" t="s">
        <v>3096</v>
      </c>
      <c r="E639" s="14">
        <v>74320486</v>
      </c>
      <c r="F639" s="14">
        <v>1825</v>
      </c>
      <c r="G639" s="13" t="s">
        <v>27</v>
      </c>
      <c r="H639" s="13" t="s">
        <v>3097</v>
      </c>
      <c r="I639" s="13" t="s">
        <v>3098</v>
      </c>
      <c r="J639" s="14">
        <f>74952408424</f>
      </c>
      <c r="K639" s="14">
        <v>6606</v>
      </c>
      <c r="L639" s="13" t="s">
        <v>1276</v>
      </c>
      <c r="M639" s="14">
        <v>105</v>
      </c>
      <c r="N639" s="13" t="s">
        <v>1277</v>
      </c>
      <c r="O639" s="13" t="s">
        <v>96</v>
      </c>
      <c r="P639" s="13" t="s">
        <v>2197</v>
      </c>
      <c r="Q639" s="14" t="s">
        <v>182</v>
      </c>
      <c r="R639" s="13" t="s">
        <v>33</v>
      </c>
      <c r="S639" s="13" t="s">
        <v>34</v>
      </c>
      <c r="T639" s="15">
        <v>0</v>
      </c>
      <c r="U639" s="13"/>
      <c r="V639" s="15">
        <v>0</v>
      </c>
      <c r="W639" s="13" t="s">
        <v>35</v>
      </c>
      <c r="X639" s="15" t="s">
        <v>36</v>
      </c>
      <c r="Y639" s="13" t="s">
        <v>37</v>
      </c>
    </row>
    <row x14ac:dyDescent="0.25" r="640" customHeight="1" ht="18.75">
      <c r="A640" s="5">
        <v>74220488</v>
      </c>
      <c r="B640" s="6">
        <v>1826</v>
      </c>
      <c r="C640" s="7" t="s">
        <v>3099</v>
      </c>
      <c r="D640" s="7" t="s">
        <v>3100</v>
      </c>
      <c r="E640" s="8">
        <v>74320488</v>
      </c>
      <c r="F640" s="8">
        <v>1826</v>
      </c>
      <c r="G640" s="7" t="s">
        <v>27</v>
      </c>
      <c r="H640" s="7" t="s">
        <v>3101</v>
      </c>
      <c r="I640" s="7" t="s">
        <v>3102</v>
      </c>
      <c r="J640" s="8">
        <f>74952408424</f>
      </c>
      <c r="K640" s="8">
        <v>6518</v>
      </c>
      <c r="L640" s="7" t="s">
        <v>1276</v>
      </c>
      <c r="M640" s="8">
        <v>105</v>
      </c>
      <c r="N640" s="7" t="s">
        <v>1277</v>
      </c>
      <c r="O640" s="7" t="s">
        <v>44</v>
      </c>
      <c r="P640" s="7" t="s">
        <v>2876</v>
      </c>
      <c r="Q640" s="8" t="s">
        <v>58</v>
      </c>
      <c r="R640" s="7" t="s">
        <v>33</v>
      </c>
      <c r="S640" s="7" t="s">
        <v>34</v>
      </c>
      <c r="T640" s="10">
        <v>0</v>
      </c>
      <c r="U640" s="7" t="s">
        <v>48</v>
      </c>
      <c r="V640" s="10" t="s">
        <v>214</v>
      </c>
      <c r="W640" s="7" t="s">
        <v>48</v>
      </c>
      <c r="X640" s="10" t="s">
        <v>65</v>
      </c>
      <c r="Y640" s="7" t="s">
        <v>37</v>
      </c>
    </row>
    <row x14ac:dyDescent="0.25" r="641" customHeight="1" ht="18.75">
      <c r="A641" s="11">
        <v>74220489</v>
      </c>
      <c r="B641" s="12">
        <v>1827</v>
      </c>
      <c r="C641" s="13" t="s">
        <v>3103</v>
      </c>
      <c r="D641" s="13" t="s">
        <v>3104</v>
      </c>
      <c r="E641" s="14">
        <v>74320489</v>
      </c>
      <c r="F641" s="14">
        <v>1827</v>
      </c>
      <c r="G641" s="13" t="s">
        <v>27</v>
      </c>
      <c r="H641" s="13" t="s">
        <v>3105</v>
      </c>
      <c r="I641" s="13" t="s">
        <v>3106</v>
      </c>
      <c r="J641" s="14">
        <f>74952408424</f>
      </c>
      <c r="K641" s="14">
        <v>6516</v>
      </c>
      <c r="L641" s="13" t="s">
        <v>1276</v>
      </c>
      <c r="M641" s="14">
        <v>105</v>
      </c>
      <c r="N641" s="13" t="s">
        <v>1277</v>
      </c>
      <c r="O641" s="13" t="s">
        <v>44</v>
      </c>
      <c r="P641" s="13" t="s">
        <v>2876</v>
      </c>
      <c r="Q641" s="14" t="s">
        <v>58</v>
      </c>
      <c r="R641" s="13" t="s">
        <v>33</v>
      </c>
      <c r="S641" s="13" t="s">
        <v>34</v>
      </c>
      <c r="T641" s="15">
        <v>0</v>
      </c>
      <c r="U641" s="13" t="s">
        <v>48</v>
      </c>
      <c r="V641" s="15" t="s">
        <v>125</v>
      </c>
      <c r="W641" s="13" t="s">
        <v>35</v>
      </c>
      <c r="X641" s="15" t="s">
        <v>65</v>
      </c>
      <c r="Y641" s="13" t="s">
        <v>59</v>
      </c>
    </row>
    <row x14ac:dyDescent="0.25" r="642" customHeight="1" ht="18.75">
      <c r="A642" s="5">
        <v>74220491</v>
      </c>
      <c r="B642" s="6">
        <v>1828</v>
      </c>
      <c r="C642" s="7" t="s">
        <v>3107</v>
      </c>
      <c r="D642" s="7" t="s">
        <v>3108</v>
      </c>
      <c r="E642" s="8">
        <v>74320491</v>
      </c>
      <c r="F642" s="8">
        <v>1828</v>
      </c>
      <c r="G642" s="7" t="s">
        <v>27</v>
      </c>
      <c r="H642" s="7" t="s">
        <v>3109</v>
      </c>
      <c r="I642" s="7" t="s">
        <v>3110</v>
      </c>
      <c r="J642" s="8">
        <f>74952408424</f>
      </c>
      <c r="K642" s="8">
        <v>6060</v>
      </c>
      <c r="L642" s="7" t="s">
        <v>1276</v>
      </c>
      <c r="M642" s="8">
        <v>105</v>
      </c>
      <c r="N642" s="7" t="s">
        <v>1277</v>
      </c>
      <c r="O642" s="7" t="s">
        <v>82</v>
      </c>
      <c r="P642" s="7" t="s">
        <v>3111</v>
      </c>
      <c r="Q642" s="8" t="s">
        <v>58</v>
      </c>
      <c r="R642" s="7" t="s">
        <v>33</v>
      </c>
      <c r="S642" s="7" t="s">
        <v>34</v>
      </c>
      <c r="T642" s="10">
        <v>0</v>
      </c>
      <c r="U642" s="7" t="s">
        <v>48</v>
      </c>
      <c r="V642" s="10" t="s">
        <v>125</v>
      </c>
      <c r="W642" s="7" t="s">
        <v>35</v>
      </c>
      <c r="X642" s="10" t="s">
        <v>65</v>
      </c>
      <c r="Y642" s="7" t="s">
        <v>37</v>
      </c>
    </row>
    <row x14ac:dyDescent="0.25" r="643" customHeight="1" ht="18.75">
      <c r="A643" s="11">
        <v>74220499</v>
      </c>
      <c r="B643" s="12">
        <v>1829</v>
      </c>
      <c r="C643" s="13" t="s">
        <v>3112</v>
      </c>
      <c r="D643" s="13" t="s">
        <v>3113</v>
      </c>
      <c r="E643" s="14">
        <v>74320499</v>
      </c>
      <c r="F643" s="14">
        <v>1829</v>
      </c>
      <c r="G643" s="13" t="s">
        <v>27</v>
      </c>
      <c r="H643" s="13" t="s">
        <v>3114</v>
      </c>
      <c r="I643" s="13" t="s">
        <v>3115</v>
      </c>
      <c r="J643" s="14">
        <f>74952408424</f>
      </c>
      <c r="K643" s="14">
        <v>6942</v>
      </c>
      <c r="L643" s="13" t="s">
        <v>1276</v>
      </c>
      <c r="M643" s="14">
        <v>105</v>
      </c>
      <c r="N643" s="13" t="s">
        <v>1277</v>
      </c>
      <c r="O643" s="13" t="s">
        <v>119</v>
      </c>
      <c r="P643" s="13" t="s">
        <v>3116</v>
      </c>
      <c r="Q643" s="14" t="s">
        <v>1039</v>
      </c>
      <c r="R643" s="13" t="s">
        <v>33</v>
      </c>
      <c r="S643" s="13" t="s">
        <v>34</v>
      </c>
      <c r="T643" s="15">
        <v>0</v>
      </c>
      <c r="U643" s="13" t="s">
        <v>35</v>
      </c>
      <c r="V643" s="15" t="s">
        <v>64</v>
      </c>
      <c r="W643" s="13" t="s">
        <v>48</v>
      </c>
      <c r="X643" s="15" t="s">
        <v>36</v>
      </c>
      <c r="Y643" s="13" t="s">
        <v>84</v>
      </c>
    </row>
    <row x14ac:dyDescent="0.25" r="644" customHeight="1" ht="18.75">
      <c r="A644" s="5">
        <v>74220497</v>
      </c>
      <c r="B644" s="6">
        <v>1830</v>
      </c>
      <c r="C644" s="7" t="s">
        <v>3117</v>
      </c>
      <c r="D644" s="7" t="s">
        <v>3118</v>
      </c>
      <c r="E644" s="8">
        <v>74320497</v>
      </c>
      <c r="F644" s="8">
        <v>1830</v>
      </c>
      <c r="G644" s="7" t="s">
        <v>27</v>
      </c>
      <c r="H644" s="7" t="s">
        <v>3119</v>
      </c>
      <c r="I644" s="7" t="s">
        <v>3120</v>
      </c>
      <c r="J644" s="8">
        <f>74952408424</f>
      </c>
      <c r="K644" s="8">
        <v>6910</v>
      </c>
      <c r="L644" s="7" t="s">
        <v>1276</v>
      </c>
      <c r="M644" s="8">
        <v>105</v>
      </c>
      <c r="N644" s="7" t="s">
        <v>1277</v>
      </c>
      <c r="O644" s="7" t="s">
        <v>119</v>
      </c>
      <c r="P644" s="7" t="s">
        <v>1081</v>
      </c>
      <c r="Q644" s="8" t="s">
        <v>1039</v>
      </c>
      <c r="R644" s="7" t="s">
        <v>33</v>
      </c>
      <c r="S644" s="7" t="s">
        <v>34</v>
      </c>
      <c r="T644" s="10">
        <v>0</v>
      </c>
      <c r="U644" s="7" t="s">
        <v>35</v>
      </c>
      <c r="V644" s="10" t="s">
        <v>64</v>
      </c>
      <c r="W644" s="7" t="s">
        <v>48</v>
      </c>
      <c r="X644" s="10" t="s">
        <v>36</v>
      </c>
      <c r="Y644" s="7" t="s">
        <v>37</v>
      </c>
    </row>
    <row x14ac:dyDescent="0.25" r="645" customHeight="1" ht="18.75">
      <c r="A645" s="11">
        <v>74220512</v>
      </c>
      <c r="B645" s="12">
        <v>1831</v>
      </c>
      <c r="C645" s="13" t="s">
        <v>3121</v>
      </c>
      <c r="D645" s="13" t="s">
        <v>3122</v>
      </c>
      <c r="E645" s="14">
        <v>74320512</v>
      </c>
      <c r="F645" s="14">
        <v>1831</v>
      </c>
      <c r="G645" s="13" t="s">
        <v>27</v>
      </c>
      <c r="H645" s="13" t="s">
        <v>3123</v>
      </c>
      <c r="I645" s="13" t="s">
        <v>3124</v>
      </c>
      <c r="J645" s="14">
        <f>74952408424</f>
      </c>
      <c r="K645" s="14">
        <v>6084</v>
      </c>
      <c r="L645" s="13" t="s">
        <v>1276</v>
      </c>
      <c r="M645" s="14">
        <v>105</v>
      </c>
      <c r="N645" s="13" t="s">
        <v>1277</v>
      </c>
      <c r="O645" s="13" t="s">
        <v>32</v>
      </c>
      <c r="P645" s="13" t="s">
        <v>32</v>
      </c>
      <c r="Q645" s="14" t="s">
        <v>58</v>
      </c>
      <c r="R645" s="13" t="s">
        <v>33</v>
      </c>
      <c r="S645" s="13" t="s">
        <v>34</v>
      </c>
      <c r="T645" s="15">
        <v>0</v>
      </c>
      <c r="U645" s="13" t="s">
        <v>48</v>
      </c>
      <c r="V645" s="15" t="s">
        <v>214</v>
      </c>
      <c r="W645" s="13" t="s">
        <v>48</v>
      </c>
      <c r="X645" s="15" t="s">
        <v>36</v>
      </c>
      <c r="Y645" s="13" t="s">
        <v>59</v>
      </c>
    </row>
    <row x14ac:dyDescent="0.25" r="646" customHeight="1" ht="18.75">
      <c r="A646" s="5">
        <v>74220513</v>
      </c>
      <c r="B646" s="6">
        <v>1832</v>
      </c>
      <c r="C646" s="7" t="s">
        <v>3125</v>
      </c>
      <c r="D646" s="7" t="s">
        <v>3126</v>
      </c>
      <c r="E646" s="8">
        <v>74320513</v>
      </c>
      <c r="F646" s="8">
        <v>1832</v>
      </c>
      <c r="G646" s="7" t="s">
        <v>27</v>
      </c>
      <c r="H646" s="7" t="s">
        <v>3127</v>
      </c>
      <c r="I646" s="7" t="s">
        <v>3128</v>
      </c>
      <c r="J646" s="8">
        <f>74952408424</f>
      </c>
      <c r="K646" s="8">
        <v>6376</v>
      </c>
      <c r="L646" s="7" t="s">
        <v>1276</v>
      </c>
      <c r="M646" s="8">
        <v>105</v>
      </c>
      <c r="N646" s="7" t="s">
        <v>1277</v>
      </c>
      <c r="O646" s="7" t="s">
        <v>73</v>
      </c>
      <c r="P646" s="7" t="s">
        <v>1532</v>
      </c>
      <c r="Q646" s="8" t="s">
        <v>1533</v>
      </c>
      <c r="R646" s="7" t="s">
        <v>33</v>
      </c>
      <c r="S646" s="7" t="s">
        <v>47</v>
      </c>
      <c r="T646" s="10">
        <v>1</v>
      </c>
      <c r="U646" s="7" t="s">
        <v>48</v>
      </c>
      <c r="V646" s="10" t="s">
        <v>64</v>
      </c>
      <c r="W646" s="7" t="s">
        <v>48</v>
      </c>
      <c r="X646" s="10" t="s">
        <v>36</v>
      </c>
      <c r="Y646" s="7" t="s">
        <v>59</v>
      </c>
    </row>
    <row x14ac:dyDescent="0.25" r="647" customHeight="1" ht="18.75">
      <c r="A647" s="11">
        <v>74220516</v>
      </c>
      <c r="B647" s="12">
        <v>1833</v>
      </c>
      <c r="C647" s="13" t="s">
        <v>3129</v>
      </c>
      <c r="D647" s="13" t="s">
        <v>3130</v>
      </c>
      <c r="E647" s="14">
        <v>74320516</v>
      </c>
      <c r="F647" s="14">
        <v>1833</v>
      </c>
      <c r="G647" s="13" t="s">
        <v>27</v>
      </c>
      <c r="H647" s="13" t="s">
        <v>3131</v>
      </c>
      <c r="I647" s="13" t="s">
        <v>3132</v>
      </c>
      <c r="J647" s="14">
        <f>74952408424</f>
      </c>
      <c r="K647" s="14">
        <v>6520</v>
      </c>
      <c r="L647" s="13" t="s">
        <v>1276</v>
      </c>
      <c r="M647" s="14">
        <v>105</v>
      </c>
      <c r="N647" s="13" t="s">
        <v>1277</v>
      </c>
      <c r="O647" s="13" t="s">
        <v>44</v>
      </c>
      <c r="P647" s="13" t="s">
        <v>2876</v>
      </c>
      <c r="Q647" s="14" t="s">
        <v>58</v>
      </c>
      <c r="R647" s="13" t="s">
        <v>33</v>
      </c>
      <c r="S647" s="13" t="s">
        <v>34</v>
      </c>
      <c r="T647" s="15">
        <v>0</v>
      </c>
      <c r="U647" s="13" t="s">
        <v>48</v>
      </c>
      <c r="V647" s="15" t="s">
        <v>214</v>
      </c>
      <c r="W647" s="13" t="s">
        <v>48</v>
      </c>
      <c r="X647" s="15" t="s">
        <v>65</v>
      </c>
      <c r="Y647" s="13" t="s">
        <v>59</v>
      </c>
    </row>
    <row x14ac:dyDescent="0.25" r="648" customHeight="1" ht="18.75">
      <c r="A648" s="5">
        <v>74220517</v>
      </c>
      <c r="B648" s="6">
        <v>1834</v>
      </c>
      <c r="C648" s="7" t="s">
        <v>3133</v>
      </c>
      <c r="D648" s="7" t="s">
        <v>3134</v>
      </c>
      <c r="E648" s="8">
        <v>74320517</v>
      </c>
      <c r="F648" s="8">
        <v>1834</v>
      </c>
      <c r="G648" s="7" t="s">
        <v>27</v>
      </c>
      <c r="H648" s="7" t="s">
        <v>3135</v>
      </c>
      <c r="I648" s="7" t="s">
        <v>3136</v>
      </c>
      <c r="J648" s="8">
        <f>74952408424</f>
      </c>
      <c r="K648" s="8">
        <v>6374</v>
      </c>
      <c r="L648" s="7" t="s">
        <v>1276</v>
      </c>
      <c r="M648" s="8">
        <v>105</v>
      </c>
      <c r="N648" s="7" t="s">
        <v>1277</v>
      </c>
      <c r="O648" s="7" t="s">
        <v>73</v>
      </c>
      <c r="P648" s="7" t="s">
        <v>1532</v>
      </c>
      <c r="Q648" s="8" t="s">
        <v>1533</v>
      </c>
      <c r="R648" s="7" t="s">
        <v>33</v>
      </c>
      <c r="S648" s="7" t="s">
        <v>34</v>
      </c>
      <c r="T648" s="10">
        <v>0</v>
      </c>
      <c r="U648" s="7" t="s">
        <v>48</v>
      </c>
      <c r="V648" s="10" t="s">
        <v>214</v>
      </c>
      <c r="W648" s="7" t="s">
        <v>35</v>
      </c>
      <c r="X648" s="10" t="s">
        <v>65</v>
      </c>
      <c r="Y648" s="7" t="s">
        <v>59</v>
      </c>
    </row>
    <row x14ac:dyDescent="0.25" r="649" customHeight="1" ht="18.75">
      <c r="A649" s="11">
        <v>74220526</v>
      </c>
      <c r="B649" s="12">
        <v>1835</v>
      </c>
      <c r="C649" s="13" t="s">
        <v>3137</v>
      </c>
      <c r="D649" s="13" t="s">
        <v>3138</v>
      </c>
      <c r="E649" s="14">
        <v>74320526</v>
      </c>
      <c r="F649" s="14">
        <v>1835</v>
      </c>
      <c r="G649" s="13" t="s">
        <v>27</v>
      </c>
      <c r="H649" s="13" t="s">
        <v>3139</v>
      </c>
      <c r="I649" s="13" t="s">
        <v>3140</v>
      </c>
      <c r="J649" s="14">
        <f>74952408424</f>
      </c>
      <c r="K649" s="14">
        <v>6076</v>
      </c>
      <c r="L649" s="13" t="s">
        <v>1276</v>
      </c>
      <c r="M649" s="14">
        <v>105</v>
      </c>
      <c r="N649" s="13" t="s">
        <v>1277</v>
      </c>
      <c r="O649" s="13" t="s">
        <v>82</v>
      </c>
      <c r="P649" s="13" t="s">
        <v>2907</v>
      </c>
      <c r="Q649" s="14" t="s">
        <v>58</v>
      </c>
      <c r="R649" s="13" t="s">
        <v>33</v>
      </c>
      <c r="S649" s="13" t="s">
        <v>34</v>
      </c>
      <c r="T649" s="15">
        <v>0</v>
      </c>
      <c r="U649" s="13" t="s">
        <v>48</v>
      </c>
      <c r="V649" s="15" t="s">
        <v>125</v>
      </c>
      <c r="W649" s="13" t="s">
        <v>35</v>
      </c>
      <c r="X649" s="15" t="s">
        <v>65</v>
      </c>
      <c r="Y649" s="13" t="s">
        <v>37</v>
      </c>
    </row>
    <row x14ac:dyDescent="0.25" r="650" customHeight="1" ht="18.75">
      <c r="A650" s="5">
        <v>74220529</v>
      </c>
      <c r="B650" s="6">
        <v>1836</v>
      </c>
      <c r="C650" s="7" t="s">
        <v>3141</v>
      </c>
      <c r="D650" s="7" t="s">
        <v>3142</v>
      </c>
      <c r="E650" s="8">
        <v>74320529</v>
      </c>
      <c r="F650" s="8">
        <v>1836</v>
      </c>
      <c r="G650" s="7" t="s">
        <v>27</v>
      </c>
      <c r="H650" s="7" t="s">
        <v>3143</v>
      </c>
      <c r="I650" s="7" t="s">
        <v>3144</v>
      </c>
      <c r="J650" s="8">
        <f>74952408424</f>
      </c>
      <c r="K650" s="8">
        <v>6066</v>
      </c>
      <c r="L650" s="7" t="s">
        <v>1276</v>
      </c>
      <c r="M650" s="8">
        <v>105</v>
      </c>
      <c r="N650" s="7" t="s">
        <v>1277</v>
      </c>
      <c r="O650" s="7" t="s">
        <v>82</v>
      </c>
      <c r="P650" s="7" t="s">
        <v>268</v>
      </c>
      <c r="Q650" s="8" t="s">
        <v>58</v>
      </c>
      <c r="R650" s="7" t="s">
        <v>33</v>
      </c>
      <c r="S650" s="7" t="s">
        <v>34</v>
      </c>
      <c r="T650" s="10">
        <v>0</v>
      </c>
      <c r="U650" s="7" t="s">
        <v>48</v>
      </c>
      <c r="V650" s="10" t="s">
        <v>125</v>
      </c>
      <c r="W650" s="7" t="s">
        <v>35</v>
      </c>
      <c r="X650" s="10" t="s">
        <v>65</v>
      </c>
      <c r="Y650" s="7" t="s">
        <v>59</v>
      </c>
    </row>
    <row x14ac:dyDescent="0.25" r="651" customHeight="1" ht="18.75">
      <c r="A651" s="11">
        <v>74220530</v>
      </c>
      <c r="B651" s="12">
        <v>1837</v>
      </c>
      <c r="C651" s="13" t="s">
        <v>3145</v>
      </c>
      <c r="D651" s="13" t="s">
        <v>3146</v>
      </c>
      <c r="E651" s="14">
        <v>74320530</v>
      </c>
      <c r="F651" s="14">
        <v>1837</v>
      </c>
      <c r="G651" s="13" t="s">
        <v>27</v>
      </c>
      <c r="H651" s="13" t="s">
        <v>3147</v>
      </c>
      <c r="I651" s="13" t="s">
        <v>3148</v>
      </c>
      <c r="J651" s="14">
        <f>74952408424</f>
      </c>
      <c r="K651" s="14">
        <v>6210</v>
      </c>
      <c r="L651" s="13" t="s">
        <v>1276</v>
      </c>
      <c r="M651" s="14">
        <v>105</v>
      </c>
      <c r="N651" s="13" t="s">
        <v>1277</v>
      </c>
      <c r="O651" s="13" t="s">
        <v>44</v>
      </c>
      <c r="P651" s="13" t="s">
        <v>3050</v>
      </c>
      <c r="Q651" s="14" t="s">
        <v>58</v>
      </c>
      <c r="R651" s="13" t="s">
        <v>33</v>
      </c>
      <c r="S651" s="13" t="s">
        <v>34</v>
      </c>
      <c r="T651" s="15">
        <v>0</v>
      </c>
      <c r="U651" s="13" t="s">
        <v>48</v>
      </c>
      <c r="V651" s="15" t="s">
        <v>125</v>
      </c>
      <c r="W651" s="13" t="s">
        <v>35</v>
      </c>
      <c r="X651" s="15" t="s">
        <v>65</v>
      </c>
      <c r="Y651" s="13" t="s">
        <v>59</v>
      </c>
    </row>
    <row x14ac:dyDescent="0.25" r="652" customHeight="1" ht="18.75">
      <c r="A652" s="5">
        <v>74220533</v>
      </c>
      <c r="B652" s="6">
        <v>1838</v>
      </c>
      <c r="C652" s="7" t="s">
        <v>3149</v>
      </c>
      <c r="D652" s="7" t="s">
        <v>3150</v>
      </c>
      <c r="E652" s="8">
        <v>74320533</v>
      </c>
      <c r="F652" s="8">
        <v>1838</v>
      </c>
      <c r="G652" s="7" t="s">
        <v>27</v>
      </c>
      <c r="H652" s="7" t="s">
        <v>3151</v>
      </c>
      <c r="I652" s="7" t="s">
        <v>3152</v>
      </c>
      <c r="J652" s="8">
        <f>74952408424</f>
      </c>
      <c r="K652" s="8">
        <v>6106</v>
      </c>
      <c r="L652" s="7" t="s">
        <v>1276</v>
      </c>
      <c r="M652" s="8">
        <v>105</v>
      </c>
      <c r="N652" s="7" t="s">
        <v>1277</v>
      </c>
      <c r="O652" s="7" t="s">
        <v>82</v>
      </c>
      <c r="P652" s="7" t="s">
        <v>1212</v>
      </c>
      <c r="Q652" s="8" t="s">
        <v>58</v>
      </c>
      <c r="R652" s="7" t="s">
        <v>33</v>
      </c>
      <c r="S652" s="7" t="s">
        <v>34</v>
      </c>
      <c r="T652" s="10">
        <v>0</v>
      </c>
      <c r="U652" s="7" t="s">
        <v>48</v>
      </c>
      <c r="V652" s="10" t="s">
        <v>214</v>
      </c>
      <c r="W652" s="7" t="s">
        <v>48</v>
      </c>
      <c r="X652" s="10" t="s">
        <v>65</v>
      </c>
      <c r="Y652" s="7" t="s">
        <v>126</v>
      </c>
    </row>
    <row x14ac:dyDescent="0.25" r="653" customHeight="1" ht="18.75">
      <c r="A653" s="11">
        <v>74220536</v>
      </c>
      <c r="B653" s="12">
        <v>1839</v>
      </c>
      <c r="C653" s="13" t="s">
        <v>3153</v>
      </c>
      <c r="D653" s="13" t="s">
        <v>3154</v>
      </c>
      <c r="E653" s="14">
        <v>74320536</v>
      </c>
      <c r="F653" s="14">
        <v>1839</v>
      </c>
      <c r="G653" s="13" t="s">
        <v>27</v>
      </c>
      <c r="H653" s="13" t="s">
        <v>3155</v>
      </c>
      <c r="I653" s="13" t="s">
        <v>3156</v>
      </c>
      <c r="J653" s="14">
        <f>74952408424</f>
      </c>
      <c r="K653" s="14">
        <v>6204</v>
      </c>
      <c r="L653" s="13" t="s">
        <v>1276</v>
      </c>
      <c r="M653" s="14">
        <v>105</v>
      </c>
      <c r="N653" s="13" t="s">
        <v>1277</v>
      </c>
      <c r="O653" s="13" t="s">
        <v>44</v>
      </c>
      <c r="P653" s="13" t="s">
        <v>3050</v>
      </c>
      <c r="Q653" s="14" t="s">
        <v>58</v>
      </c>
      <c r="R653" s="13" t="s">
        <v>33</v>
      </c>
      <c r="S653" s="13" t="s">
        <v>34</v>
      </c>
      <c r="T653" s="15">
        <v>0</v>
      </c>
      <c r="U653" s="13" t="s">
        <v>48</v>
      </c>
      <c r="V653" s="15" t="s">
        <v>214</v>
      </c>
      <c r="W653" s="13" t="s">
        <v>48</v>
      </c>
      <c r="X653" s="15" t="s">
        <v>65</v>
      </c>
      <c r="Y653" s="13" t="s">
        <v>126</v>
      </c>
    </row>
    <row x14ac:dyDescent="0.25" r="654" customHeight="1" ht="18.75">
      <c r="A654" s="5">
        <v>74220534</v>
      </c>
      <c r="B654" s="6">
        <v>1840</v>
      </c>
      <c r="C654" s="7" t="s">
        <v>3157</v>
      </c>
      <c r="D654" s="7" t="s">
        <v>3158</v>
      </c>
      <c r="E654" s="8">
        <v>74320534</v>
      </c>
      <c r="F654" s="8">
        <v>1840</v>
      </c>
      <c r="G654" s="7" t="s">
        <v>27</v>
      </c>
      <c r="H654" s="7" t="s">
        <v>3159</v>
      </c>
      <c r="I654" s="7" t="s">
        <v>3160</v>
      </c>
      <c r="J654" s="8">
        <f>74952408424</f>
      </c>
      <c r="K654" s="8">
        <v>6702</v>
      </c>
      <c r="L654" s="7" t="s">
        <v>1276</v>
      </c>
      <c r="M654" s="8">
        <v>105</v>
      </c>
      <c r="N654" s="7" t="s">
        <v>1277</v>
      </c>
      <c r="O654" s="7" t="s">
        <v>73</v>
      </c>
      <c r="P654" s="7" t="s">
        <v>3161</v>
      </c>
      <c r="Q654" s="8" t="s">
        <v>182</v>
      </c>
      <c r="R654" s="7" t="s">
        <v>33</v>
      </c>
      <c r="S654" s="7" t="s">
        <v>34</v>
      </c>
      <c r="T654" s="10">
        <v>0</v>
      </c>
      <c r="U654" s="7" t="s">
        <v>48</v>
      </c>
      <c r="V654" s="10" t="s">
        <v>214</v>
      </c>
      <c r="W654" s="7" t="s">
        <v>48</v>
      </c>
      <c r="X654" s="10" t="s">
        <v>36</v>
      </c>
      <c r="Y654" s="7" t="s">
        <v>59</v>
      </c>
    </row>
    <row x14ac:dyDescent="0.25" r="655" customHeight="1" ht="18.75">
      <c r="A655" s="11">
        <v>74220537</v>
      </c>
      <c r="B655" s="12">
        <v>1841</v>
      </c>
      <c r="C655" s="13" t="s">
        <v>3162</v>
      </c>
      <c r="D655" s="13" t="s">
        <v>3163</v>
      </c>
      <c r="E655" s="14">
        <v>74320537</v>
      </c>
      <c r="F655" s="14">
        <v>1841</v>
      </c>
      <c r="G655" s="13" t="s">
        <v>27</v>
      </c>
      <c r="H655" s="13" t="s">
        <v>3164</v>
      </c>
      <c r="I655" s="13" t="s">
        <v>3165</v>
      </c>
      <c r="J655" s="14">
        <f>74952408424</f>
      </c>
      <c r="K655" s="14">
        <v>6704</v>
      </c>
      <c r="L655" s="13" t="s">
        <v>1276</v>
      </c>
      <c r="M655" s="14">
        <v>105</v>
      </c>
      <c r="N655" s="13" t="s">
        <v>1277</v>
      </c>
      <c r="O655" s="13" t="s">
        <v>73</v>
      </c>
      <c r="P655" s="13" t="s">
        <v>3161</v>
      </c>
      <c r="Q655" s="14" t="s">
        <v>182</v>
      </c>
      <c r="R655" s="13" t="s">
        <v>33</v>
      </c>
      <c r="S655" s="13" t="s">
        <v>34</v>
      </c>
      <c r="T655" s="15">
        <v>0</v>
      </c>
      <c r="U655" s="13"/>
      <c r="V655" s="15">
        <v>0</v>
      </c>
      <c r="W655" s="13" t="s">
        <v>48</v>
      </c>
      <c r="X655" s="15" t="s">
        <v>36</v>
      </c>
      <c r="Y655" s="13" t="s">
        <v>66</v>
      </c>
    </row>
    <row x14ac:dyDescent="0.25" r="656" customHeight="1" ht="18.75">
      <c r="A656" s="5">
        <v>74220540</v>
      </c>
      <c r="B656" s="6">
        <v>1842</v>
      </c>
      <c r="C656" s="7" t="s">
        <v>3166</v>
      </c>
      <c r="D656" s="7" t="s">
        <v>3167</v>
      </c>
      <c r="E656" s="8">
        <v>74320540</v>
      </c>
      <c r="F656" s="8">
        <v>1842</v>
      </c>
      <c r="G656" s="7" t="s">
        <v>27</v>
      </c>
      <c r="H656" s="7" t="s">
        <v>3168</v>
      </c>
      <c r="I656" s="7" t="s">
        <v>3169</v>
      </c>
      <c r="J656" s="8">
        <f>74952408424</f>
      </c>
      <c r="K656" s="8">
        <v>6526</v>
      </c>
      <c r="L656" s="7" t="s">
        <v>1276</v>
      </c>
      <c r="M656" s="8">
        <v>105</v>
      </c>
      <c r="N656" s="7" t="s">
        <v>1277</v>
      </c>
      <c r="O656" s="7" t="s">
        <v>44</v>
      </c>
      <c r="P656" s="7" t="s">
        <v>2998</v>
      </c>
      <c r="Q656" s="8" t="s">
        <v>58</v>
      </c>
      <c r="R656" s="7" t="s">
        <v>33</v>
      </c>
      <c r="S656" s="7" t="s">
        <v>34</v>
      </c>
      <c r="T656" s="10">
        <v>0</v>
      </c>
      <c r="U656" s="7" t="s">
        <v>48</v>
      </c>
      <c r="V656" s="10" t="s">
        <v>64</v>
      </c>
      <c r="W656" s="7" t="s">
        <v>48</v>
      </c>
      <c r="X656" s="10" t="s">
        <v>65</v>
      </c>
      <c r="Y656" s="7" t="s">
        <v>84</v>
      </c>
    </row>
    <row x14ac:dyDescent="0.25" r="657" customHeight="1" ht="18.75">
      <c r="A657" s="11">
        <v>74220544</v>
      </c>
      <c r="B657" s="12">
        <v>1843</v>
      </c>
      <c r="C657" s="13" t="s">
        <v>3170</v>
      </c>
      <c r="D657" s="13" t="s">
        <v>3171</v>
      </c>
      <c r="E657" s="14">
        <v>74320544</v>
      </c>
      <c r="F657" s="14">
        <v>1843</v>
      </c>
      <c r="G657" s="13" t="s">
        <v>27</v>
      </c>
      <c r="H657" s="13" t="s">
        <v>3172</v>
      </c>
      <c r="I657" s="13" t="s">
        <v>3173</v>
      </c>
      <c r="J657" s="14">
        <f>74952408424</f>
      </c>
      <c r="K657" s="14">
        <v>6312</v>
      </c>
      <c r="L657" s="13" t="s">
        <v>1276</v>
      </c>
      <c r="M657" s="14">
        <v>105</v>
      </c>
      <c r="N657" s="13" t="s">
        <v>1277</v>
      </c>
      <c r="O657" s="13" t="s">
        <v>73</v>
      </c>
      <c r="P657" s="13" t="s">
        <v>1872</v>
      </c>
      <c r="Q657" s="14" t="s">
        <v>3174</v>
      </c>
      <c r="R657" s="13" t="s">
        <v>33</v>
      </c>
      <c r="S657" s="13" t="s">
        <v>34</v>
      </c>
      <c r="T657" s="15">
        <v>0</v>
      </c>
      <c r="U657" s="13" t="s">
        <v>48</v>
      </c>
      <c r="V657" s="15" t="s">
        <v>214</v>
      </c>
      <c r="W657" s="13" t="s">
        <v>48</v>
      </c>
      <c r="X657" s="15" t="s">
        <v>36</v>
      </c>
      <c r="Y657" s="13" t="s">
        <v>126</v>
      </c>
    </row>
    <row x14ac:dyDescent="0.25" r="658" customHeight="1" ht="18.75">
      <c r="A658" s="5">
        <v>74220550</v>
      </c>
      <c r="B658" s="6">
        <v>1844</v>
      </c>
      <c r="C658" s="7" t="s">
        <v>3175</v>
      </c>
      <c r="D658" s="7" t="s">
        <v>3176</v>
      </c>
      <c r="E658" s="8">
        <v>74320550</v>
      </c>
      <c r="F658" s="8">
        <v>1844</v>
      </c>
      <c r="G658" s="7" t="s">
        <v>27</v>
      </c>
      <c r="H658" s="7" t="s">
        <v>3177</v>
      </c>
      <c r="I658" s="7" t="s">
        <v>3178</v>
      </c>
      <c r="J658" s="8">
        <f>74952408424</f>
      </c>
      <c r="K658" s="8">
        <v>9258</v>
      </c>
      <c r="L658" s="7" t="s">
        <v>1276</v>
      </c>
      <c r="M658" s="8">
        <v>105</v>
      </c>
      <c r="N658" s="7" t="s">
        <v>1277</v>
      </c>
      <c r="O658" s="7" t="s">
        <v>96</v>
      </c>
      <c r="P658" s="7" t="s">
        <v>1799</v>
      </c>
      <c r="Q658" s="8" t="s">
        <v>3179</v>
      </c>
      <c r="R658" s="7" t="s">
        <v>33</v>
      </c>
      <c r="S658" s="7" t="s">
        <v>34</v>
      </c>
      <c r="T658" s="10">
        <v>0</v>
      </c>
      <c r="U658" s="7" t="s">
        <v>48</v>
      </c>
      <c r="V658" s="10" t="s">
        <v>214</v>
      </c>
      <c r="W658" s="7" t="s">
        <v>48</v>
      </c>
      <c r="X658" s="10" t="s">
        <v>36</v>
      </c>
      <c r="Y658" s="7" t="s">
        <v>59</v>
      </c>
    </row>
    <row x14ac:dyDescent="0.25" r="659" customHeight="1" ht="18.75">
      <c r="A659" s="11">
        <v>74220552</v>
      </c>
      <c r="B659" s="12">
        <v>1845</v>
      </c>
      <c r="C659" s="13" t="s">
        <v>3180</v>
      </c>
      <c r="D659" s="13" t="s">
        <v>3181</v>
      </c>
      <c r="E659" s="14">
        <v>74320552</v>
      </c>
      <c r="F659" s="14">
        <v>1845</v>
      </c>
      <c r="G659" s="13" t="s">
        <v>27</v>
      </c>
      <c r="H659" s="13" t="s">
        <v>3182</v>
      </c>
      <c r="I659" s="13" t="s">
        <v>3183</v>
      </c>
      <c r="J659" s="14">
        <f>74952408424</f>
      </c>
      <c r="K659" s="14">
        <v>6078</v>
      </c>
      <c r="L659" s="13" t="s">
        <v>1276</v>
      </c>
      <c r="M659" s="14">
        <v>105</v>
      </c>
      <c r="N659" s="13" t="s">
        <v>1277</v>
      </c>
      <c r="O659" s="13" t="s">
        <v>82</v>
      </c>
      <c r="P659" s="13" t="s">
        <v>3184</v>
      </c>
      <c r="Q659" s="14" t="s">
        <v>58</v>
      </c>
      <c r="R659" s="13" t="s">
        <v>33</v>
      </c>
      <c r="S659" s="13" t="s">
        <v>34</v>
      </c>
      <c r="T659" s="15">
        <v>0</v>
      </c>
      <c r="U659" s="13" t="s">
        <v>48</v>
      </c>
      <c r="V659" s="15" t="s">
        <v>214</v>
      </c>
      <c r="W659" s="13" t="s">
        <v>35</v>
      </c>
      <c r="X659" s="15" t="s">
        <v>65</v>
      </c>
      <c r="Y659" s="13" t="s">
        <v>84</v>
      </c>
    </row>
    <row x14ac:dyDescent="0.25" r="660" customHeight="1" ht="18.75">
      <c r="A660" s="5">
        <v>74220553</v>
      </c>
      <c r="B660" s="6">
        <v>1846</v>
      </c>
      <c r="C660" s="7" t="s">
        <v>3185</v>
      </c>
      <c r="D660" s="7" t="s">
        <v>3186</v>
      </c>
      <c r="E660" s="8">
        <v>74320553</v>
      </c>
      <c r="F660" s="8">
        <v>1846</v>
      </c>
      <c r="G660" s="7" t="s">
        <v>27</v>
      </c>
      <c r="H660" s="7" t="s">
        <v>3187</v>
      </c>
      <c r="I660" s="7" t="s">
        <v>3188</v>
      </c>
      <c r="J660" s="8">
        <f>74952408424</f>
      </c>
      <c r="K660" s="8">
        <v>6208</v>
      </c>
      <c r="L660" s="7" t="s">
        <v>1276</v>
      </c>
      <c r="M660" s="8">
        <v>105</v>
      </c>
      <c r="N660" s="7" t="s">
        <v>1277</v>
      </c>
      <c r="O660" s="7" t="s">
        <v>44</v>
      </c>
      <c r="P660" s="7" t="s">
        <v>3050</v>
      </c>
      <c r="Q660" s="8" t="s">
        <v>58</v>
      </c>
      <c r="R660" s="7" t="s">
        <v>33</v>
      </c>
      <c r="S660" s="7" t="s">
        <v>34</v>
      </c>
      <c r="T660" s="10">
        <v>0</v>
      </c>
      <c r="U660" s="7"/>
      <c r="V660" s="10">
        <v>0</v>
      </c>
      <c r="W660" s="7" t="s">
        <v>35</v>
      </c>
      <c r="X660" s="10" t="s">
        <v>65</v>
      </c>
      <c r="Y660" s="7" t="s">
        <v>37</v>
      </c>
    </row>
    <row x14ac:dyDescent="0.25" r="661" customHeight="1" ht="18.75">
      <c r="A661" s="11">
        <v>74220556</v>
      </c>
      <c r="B661" s="12">
        <v>1847</v>
      </c>
      <c r="C661" s="13" t="s">
        <v>3189</v>
      </c>
      <c r="D661" s="13" t="s">
        <v>3190</v>
      </c>
      <c r="E661" s="14">
        <v>74320556</v>
      </c>
      <c r="F661" s="14">
        <v>1847</v>
      </c>
      <c r="G661" s="13" t="s">
        <v>27</v>
      </c>
      <c r="H661" s="13" t="s">
        <v>3191</v>
      </c>
      <c r="I661" s="13" t="s">
        <v>3192</v>
      </c>
      <c r="J661" s="14">
        <f>74952408424</f>
      </c>
      <c r="K661" s="14">
        <v>6854</v>
      </c>
      <c r="L661" s="13" t="s">
        <v>1276</v>
      </c>
      <c r="M661" s="14">
        <v>105</v>
      </c>
      <c r="N661" s="13" t="s">
        <v>1277</v>
      </c>
      <c r="O661" s="13" t="s">
        <v>73</v>
      </c>
      <c r="P661" s="13" t="s">
        <v>3193</v>
      </c>
      <c r="Q661" s="14" t="s">
        <v>112</v>
      </c>
      <c r="R661" s="13" t="s">
        <v>33</v>
      </c>
      <c r="S661" s="13" t="s">
        <v>34</v>
      </c>
      <c r="T661" s="15">
        <v>0</v>
      </c>
      <c r="U661" s="13" t="s">
        <v>48</v>
      </c>
      <c r="V661" s="15" t="s">
        <v>64</v>
      </c>
      <c r="W661" s="13" t="s">
        <v>48</v>
      </c>
      <c r="X661" s="15" t="s">
        <v>36</v>
      </c>
      <c r="Y661" s="13" t="s">
        <v>126</v>
      </c>
    </row>
    <row x14ac:dyDescent="0.25" r="662" customHeight="1" ht="18.75">
      <c r="A662" s="5">
        <v>74220576</v>
      </c>
      <c r="B662" s="6">
        <v>1848</v>
      </c>
      <c r="C662" s="7" t="s">
        <v>3194</v>
      </c>
      <c r="D662" s="7" t="s">
        <v>3195</v>
      </c>
      <c r="E662" s="8">
        <v>74320576</v>
      </c>
      <c r="F662" s="8">
        <v>1848</v>
      </c>
      <c r="G662" s="7" t="s">
        <v>27</v>
      </c>
      <c r="H662" s="7" t="s">
        <v>3196</v>
      </c>
      <c r="I662" s="7" t="s">
        <v>3197</v>
      </c>
      <c r="J662" s="8">
        <f>74952408424</f>
      </c>
      <c r="K662" s="8">
        <v>6422</v>
      </c>
      <c r="L662" s="7" t="s">
        <v>1276</v>
      </c>
      <c r="M662" s="8">
        <v>105</v>
      </c>
      <c r="N662" s="7" t="s">
        <v>1277</v>
      </c>
      <c r="O662" s="7" t="s">
        <v>73</v>
      </c>
      <c r="P662" s="7" t="s">
        <v>2181</v>
      </c>
      <c r="Q662" s="8" t="s">
        <v>182</v>
      </c>
      <c r="R662" s="7" t="s">
        <v>33</v>
      </c>
      <c r="S662" s="7" t="s">
        <v>34</v>
      </c>
      <c r="T662" s="10">
        <v>0</v>
      </c>
      <c r="U662" s="7" t="s">
        <v>48</v>
      </c>
      <c r="V662" s="10" t="s">
        <v>64</v>
      </c>
      <c r="W662" s="7" t="s">
        <v>48</v>
      </c>
      <c r="X662" s="10" t="s">
        <v>36</v>
      </c>
      <c r="Y662" s="7" t="s">
        <v>37</v>
      </c>
    </row>
    <row x14ac:dyDescent="0.25" r="663" customHeight="1" ht="18.75">
      <c r="A663" s="11">
        <v>74220579</v>
      </c>
      <c r="B663" s="12">
        <v>1849</v>
      </c>
      <c r="C663" s="13" t="s">
        <v>3198</v>
      </c>
      <c r="D663" s="13" t="s">
        <v>3199</v>
      </c>
      <c r="E663" s="14">
        <v>74320579</v>
      </c>
      <c r="F663" s="14">
        <v>1849</v>
      </c>
      <c r="G663" s="13" t="s">
        <v>27</v>
      </c>
      <c r="H663" s="13" t="s">
        <v>3200</v>
      </c>
      <c r="I663" s="13" t="s">
        <v>3201</v>
      </c>
      <c r="J663" s="14">
        <f>74952408424</f>
      </c>
      <c r="K663" s="14">
        <v>6068</v>
      </c>
      <c r="L663" s="13" t="s">
        <v>1276</v>
      </c>
      <c r="M663" s="14">
        <v>105</v>
      </c>
      <c r="N663" s="13" t="s">
        <v>1277</v>
      </c>
      <c r="O663" s="13" t="s">
        <v>82</v>
      </c>
      <c r="P663" s="13" t="s">
        <v>1212</v>
      </c>
      <c r="Q663" s="14" t="s">
        <v>58</v>
      </c>
      <c r="R663" s="13" t="s">
        <v>33</v>
      </c>
      <c r="S663" s="13" t="s">
        <v>34</v>
      </c>
      <c r="T663" s="15">
        <v>0</v>
      </c>
      <c r="U663" s="13" t="s">
        <v>48</v>
      </c>
      <c r="V663" s="15" t="s">
        <v>125</v>
      </c>
      <c r="W663" s="13" t="s">
        <v>35</v>
      </c>
      <c r="X663" s="15" t="s">
        <v>65</v>
      </c>
      <c r="Y663" s="13" t="s">
        <v>59</v>
      </c>
    </row>
    <row x14ac:dyDescent="0.25" r="664" customHeight="1" ht="18.75">
      <c r="A664" s="5">
        <v>74220598</v>
      </c>
      <c r="B664" s="6">
        <v>1850</v>
      </c>
      <c r="C664" s="7" t="s">
        <v>3202</v>
      </c>
      <c r="D664" s="7" t="s">
        <v>3203</v>
      </c>
      <c r="E664" s="8">
        <v>74320598</v>
      </c>
      <c r="F664" s="8">
        <v>1850</v>
      </c>
      <c r="G664" s="7" t="s">
        <v>27</v>
      </c>
      <c r="H664" s="7" t="s">
        <v>3204</v>
      </c>
      <c r="I664" s="7" t="s">
        <v>3205</v>
      </c>
      <c r="J664" s="8">
        <f>74952408424</f>
      </c>
      <c r="K664" s="8">
        <v>6858</v>
      </c>
      <c r="L664" s="7" t="s">
        <v>1276</v>
      </c>
      <c r="M664" s="8">
        <v>105</v>
      </c>
      <c r="N664" s="7" t="s">
        <v>1277</v>
      </c>
      <c r="O664" s="7" t="s">
        <v>73</v>
      </c>
      <c r="P664" s="7" t="s">
        <v>3193</v>
      </c>
      <c r="Q664" s="8" t="s">
        <v>112</v>
      </c>
      <c r="R664" s="7" t="s">
        <v>33</v>
      </c>
      <c r="S664" s="7" t="s">
        <v>34</v>
      </c>
      <c r="T664" s="10">
        <v>0</v>
      </c>
      <c r="U664" s="7" t="s">
        <v>48</v>
      </c>
      <c r="V664" s="10" t="s">
        <v>64</v>
      </c>
      <c r="W664" s="7" t="s">
        <v>48</v>
      </c>
      <c r="X664" s="10" t="s">
        <v>36</v>
      </c>
      <c r="Y664" s="7" t="s">
        <v>126</v>
      </c>
    </row>
    <row x14ac:dyDescent="0.25" r="665" customHeight="1" ht="18.75">
      <c r="A665" s="11">
        <v>74220603</v>
      </c>
      <c r="B665" s="12">
        <v>1851</v>
      </c>
      <c r="C665" s="13" t="s">
        <v>3206</v>
      </c>
      <c r="D665" s="13" t="s">
        <v>3207</v>
      </c>
      <c r="E665" s="14">
        <v>74320603</v>
      </c>
      <c r="F665" s="14">
        <v>1851</v>
      </c>
      <c r="G665" s="13" t="s">
        <v>27</v>
      </c>
      <c r="H665" s="13" t="s">
        <v>3208</v>
      </c>
      <c r="I665" s="13" t="s">
        <v>3209</v>
      </c>
      <c r="J665" s="14">
        <f>74952408424</f>
      </c>
      <c r="K665" s="14">
        <v>6094</v>
      </c>
      <c r="L665" s="13" t="s">
        <v>1276</v>
      </c>
      <c r="M665" s="14">
        <v>105</v>
      </c>
      <c r="N665" s="13" t="s">
        <v>1277</v>
      </c>
      <c r="O665" s="13" t="s">
        <v>82</v>
      </c>
      <c r="P665" s="13" t="s">
        <v>3210</v>
      </c>
      <c r="Q665" s="14" t="s">
        <v>58</v>
      </c>
      <c r="R665" s="13" t="s">
        <v>33</v>
      </c>
      <c r="S665" s="13" t="s">
        <v>34</v>
      </c>
      <c r="T665" s="15">
        <v>0</v>
      </c>
      <c r="U665" s="13" t="s">
        <v>48</v>
      </c>
      <c r="V665" s="15" t="s">
        <v>214</v>
      </c>
      <c r="W665" s="13" t="s">
        <v>48</v>
      </c>
      <c r="X665" s="15" t="s">
        <v>65</v>
      </c>
      <c r="Y665" s="13" t="s">
        <v>84</v>
      </c>
    </row>
    <row x14ac:dyDescent="0.25" r="666" customHeight="1" ht="18.75">
      <c r="A666" s="5">
        <v>74220601</v>
      </c>
      <c r="B666" s="6">
        <v>1852</v>
      </c>
      <c r="C666" s="7" t="s">
        <v>3211</v>
      </c>
      <c r="D666" s="7" t="s">
        <v>3212</v>
      </c>
      <c r="E666" s="8">
        <v>74320601</v>
      </c>
      <c r="F666" s="8">
        <v>1852</v>
      </c>
      <c r="G666" s="7" t="s">
        <v>27</v>
      </c>
      <c r="H666" s="7" t="s">
        <v>3213</v>
      </c>
      <c r="I666" s="7" t="s">
        <v>3214</v>
      </c>
      <c r="J666" s="8">
        <f>74952408424</f>
      </c>
      <c r="K666" s="8">
        <v>6104</v>
      </c>
      <c r="L666" s="7" t="s">
        <v>1276</v>
      </c>
      <c r="M666" s="8">
        <v>105</v>
      </c>
      <c r="N666" s="7" t="s">
        <v>1277</v>
      </c>
      <c r="O666" s="7" t="s">
        <v>82</v>
      </c>
      <c r="P666" s="7" t="s">
        <v>1231</v>
      </c>
      <c r="Q666" s="8" t="s">
        <v>3215</v>
      </c>
      <c r="R666" s="7" t="s">
        <v>33</v>
      </c>
      <c r="S666" s="7" t="s">
        <v>34</v>
      </c>
      <c r="T666" s="10">
        <v>0</v>
      </c>
      <c r="U666" s="7" t="s">
        <v>48</v>
      </c>
      <c r="V666" s="10" t="s">
        <v>214</v>
      </c>
      <c r="W666" s="7" t="s">
        <v>48</v>
      </c>
      <c r="X666" s="10" t="s">
        <v>65</v>
      </c>
      <c r="Y666" s="7" t="s">
        <v>59</v>
      </c>
    </row>
    <row x14ac:dyDescent="0.25" r="667" customHeight="1" ht="18.75">
      <c r="A667" s="11">
        <v>74220607</v>
      </c>
      <c r="B667" s="12">
        <v>1853</v>
      </c>
      <c r="C667" s="13" t="s">
        <v>3216</v>
      </c>
      <c r="D667" s="13" t="s">
        <v>3217</v>
      </c>
      <c r="E667" s="14">
        <v>74320607</v>
      </c>
      <c r="F667" s="14">
        <v>1853</v>
      </c>
      <c r="G667" s="13" t="s">
        <v>27</v>
      </c>
      <c r="H667" s="13" t="s">
        <v>3218</v>
      </c>
      <c r="I667" s="13" t="s">
        <v>3219</v>
      </c>
      <c r="J667" s="14">
        <f>74952408424</f>
      </c>
      <c r="K667" s="14">
        <v>6260</v>
      </c>
      <c r="L667" s="13" t="s">
        <v>1276</v>
      </c>
      <c r="M667" s="14">
        <v>105</v>
      </c>
      <c r="N667" s="13" t="s">
        <v>1277</v>
      </c>
      <c r="O667" s="13" t="s">
        <v>96</v>
      </c>
      <c r="P667" s="13" t="s">
        <v>1799</v>
      </c>
      <c r="Q667" s="14" t="s">
        <v>182</v>
      </c>
      <c r="R667" s="13" t="s">
        <v>33</v>
      </c>
      <c r="S667" s="13" t="s">
        <v>34</v>
      </c>
      <c r="T667" s="15">
        <v>0</v>
      </c>
      <c r="U667" s="13" t="s">
        <v>48</v>
      </c>
      <c r="V667" s="15" t="s">
        <v>214</v>
      </c>
      <c r="W667" s="13" t="s">
        <v>48</v>
      </c>
      <c r="X667" s="15" t="s">
        <v>36</v>
      </c>
      <c r="Y667" s="13" t="s">
        <v>37</v>
      </c>
    </row>
    <row x14ac:dyDescent="0.25" r="668" customHeight="1" ht="18.75">
      <c r="A668" s="5">
        <v>74220613</v>
      </c>
      <c r="B668" s="6">
        <v>1854</v>
      </c>
      <c r="C668" s="7" t="s">
        <v>3220</v>
      </c>
      <c r="D668" s="7" t="s">
        <v>3221</v>
      </c>
      <c r="E668" s="8">
        <v>74320613</v>
      </c>
      <c r="F668" s="8">
        <v>1854</v>
      </c>
      <c r="G668" s="7" t="s">
        <v>27</v>
      </c>
      <c r="H668" s="7" t="s">
        <v>3222</v>
      </c>
      <c r="I668" s="7" t="s">
        <v>3223</v>
      </c>
      <c r="J668" s="8">
        <f>73912346454</f>
      </c>
      <c r="K668" s="8">
        <v>6310</v>
      </c>
      <c r="L668" s="7" t="s">
        <v>1276</v>
      </c>
      <c r="M668" s="8">
        <v>105</v>
      </c>
      <c r="N668" s="7" t="s">
        <v>1277</v>
      </c>
      <c r="O668" s="7" t="s">
        <v>73</v>
      </c>
      <c r="P668" s="7" t="s">
        <v>1872</v>
      </c>
      <c r="Q668" s="8" t="s">
        <v>1742</v>
      </c>
      <c r="R668" s="7" t="s">
        <v>33</v>
      </c>
      <c r="S668" s="7" t="s">
        <v>34</v>
      </c>
      <c r="T668" s="10">
        <v>0</v>
      </c>
      <c r="U668" s="7" t="s">
        <v>48</v>
      </c>
      <c r="V668" s="10" t="s">
        <v>125</v>
      </c>
      <c r="W668" s="7" t="s">
        <v>48</v>
      </c>
      <c r="X668" s="10" t="s">
        <v>36</v>
      </c>
      <c r="Y668" s="7" t="s">
        <v>59</v>
      </c>
    </row>
    <row x14ac:dyDescent="0.25" r="669" customHeight="1" ht="18.75">
      <c r="A669" s="11">
        <v>74220627</v>
      </c>
      <c r="B669" s="12">
        <v>1855</v>
      </c>
      <c r="C669" s="13" t="s">
        <v>3224</v>
      </c>
      <c r="D669" s="13" t="s">
        <v>3225</v>
      </c>
      <c r="E669" s="14">
        <v>74320627</v>
      </c>
      <c r="F669" s="14">
        <v>1855</v>
      </c>
      <c r="G669" s="13" t="s">
        <v>27</v>
      </c>
      <c r="H669" s="13" t="s">
        <v>3226</v>
      </c>
      <c r="I669" s="13" t="s">
        <v>3227</v>
      </c>
      <c r="J669" s="14">
        <f>74952408424</f>
      </c>
      <c r="K669" s="14">
        <v>6102</v>
      </c>
      <c r="L669" s="13" t="s">
        <v>1276</v>
      </c>
      <c r="M669" s="14">
        <v>105</v>
      </c>
      <c r="N669" s="13" t="s">
        <v>1277</v>
      </c>
      <c r="O669" s="13" t="s">
        <v>82</v>
      </c>
      <c r="P669" s="13" t="s">
        <v>2100</v>
      </c>
      <c r="Q669" s="14" t="s">
        <v>3228</v>
      </c>
      <c r="R669" s="13" t="s">
        <v>33</v>
      </c>
      <c r="S669" s="13" t="s">
        <v>34</v>
      </c>
      <c r="T669" s="15">
        <v>0</v>
      </c>
      <c r="U669" s="13" t="s">
        <v>48</v>
      </c>
      <c r="V669" s="15" t="s">
        <v>214</v>
      </c>
      <c r="W669" s="13" t="s">
        <v>48</v>
      </c>
      <c r="X669" s="15" t="s">
        <v>65</v>
      </c>
      <c r="Y669" s="13" t="s">
        <v>126</v>
      </c>
    </row>
    <row x14ac:dyDescent="0.25" r="670" customHeight="1" ht="18.75">
      <c r="A670" s="5">
        <v>74220630</v>
      </c>
      <c r="B670" s="6">
        <v>1856</v>
      </c>
      <c r="C670" s="7" t="s">
        <v>3229</v>
      </c>
      <c r="D670" s="7" t="s">
        <v>3230</v>
      </c>
      <c r="E670" s="8">
        <v>74320630</v>
      </c>
      <c r="F670" s="8">
        <v>1856</v>
      </c>
      <c r="G670" s="7" t="s">
        <v>27</v>
      </c>
      <c r="H670" s="7" t="s">
        <v>3231</v>
      </c>
      <c r="I670" s="7" t="s">
        <v>3232</v>
      </c>
      <c r="J670" s="8">
        <f>74952408424</f>
      </c>
      <c r="K670" s="8">
        <v>6082</v>
      </c>
      <c r="L670" s="7" t="s">
        <v>1276</v>
      </c>
      <c r="M670" s="8">
        <v>105</v>
      </c>
      <c r="N670" s="7" t="s">
        <v>1277</v>
      </c>
      <c r="O670" s="7" t="s">
        <v>82</v>
      </c>
      <c r="P670" s="7" t="s">
        <v>268</v>
      </c>
      <c r="Q670" s="8" t="s">
        <v>58</v>
      </c>
      <c r="R670" s="7" t="s">
        <v>33</v>
      </c>
      <c r="S670" s="7" t="s">
        <v>34</v>
      </c>
      <c r="T670" s="10">
        <v>0</v>
      </c>
      <c r="U670" s="7" t="s">
        <v>48</v>
      </c>
      <c r="V670" s="10" t="s">
        <v>214</v>
      </c>
      <c r="W670" s="7" t="s">
        <v>48</v>
      </c>
      <c r="X670" s="10" t="s">
        <v>36</v>
      </c>
      <c r="Y670" s="7" t="s">
        <v>59</v>
      </c>
    </row>
    <row x14ac:dyDescent="0.25" r="671" customHeight="1" ht="18.75">
      <c r="A671" s="11">
        <v>74220628</v>
      </c>
      <c r="B671" s="12">
        <v>1857</v>
      </c>
      <c r="C671" s="13" t="s">
        <v>3233</v>
      </c>
      <c r="D671" s="13" t="s">
        <v>3234</v>
      </c>
      <c r="E671" s="14">
        <v>74320628</v>
      </c>
      <c r="F671" s="14">
        <v>1857</v>
      </c>
      <c r="G671" s="13" t="s">
        <v>27</v>
      </c>
      <c r="H671" s="13" t="s">
        <v>3235</v>
      </c>
      <c r="I671" s="13" t="s">
        <v>3236</v>
      </c>
      <c r="J671" s="14">
        <f>74952408424</f>
      </c>
      <c r="K671" s="14">
        <v>6522</v>
      </c>
      <c r="L671" s="13" t="s">
        <v>1276</v>
      </c>
      <c r="M671" s="14">
        <v>105</v>
      </c>
      <c r="N671" s="13" t="s">
        <v>1277</v>
      </c>
      <c r="O671" s="13" t="s">
        <v>44</v>
      </c>
      <c r="P671" s="13" t="s">
        <v>2876</v>
      </c>
      <c r="Q671" s="14" t="s">
        <v>58</v>
      </c>
      <c r="R671" s="13" t="s">
        <v>33</v>
      </c>
      <c r="S671" s="13" t="s">
        <v>34</v>
      </c>
      <c r="T671" s="15">
        <v>0</v>
      </c>
      <c r="U671" s="13" t="s">
        <v>48</v>
      </c>
      <c r="V671" s="15" t="s">
        <v>214</v>
      </c>
      <c r="W671" s="13" t="s">
        <v>48</v>
      </c>
      <c r="X671" s="15" t="s">
        <v>65</v>
      </c>
      <c r="Y671" s="13" t="s">
        <v>59</v>
      </c>
    </row>
    <row x14ac:dyDescent="0.25" r="672" customHeight="1" ht="18.75">
      <c r="A672" s="5">
        <v>74220633</v>
      </c>
      <c r="B672" s="6">
        <v>1858</v>
      </c>
      <c r="C672" s="7" t="s">
        <v>3237</v>
      </c>
      <c r="D672" s="7" t="s">
        <v>3238</v>
      </c>
      <c r="E672" s="8">
        <v>74320633</v>
      </c>
      <c r="F672" s="8">
        <v>1858</v>
      </c>
      <c r="G672" s="7" t="s">
        <v>27</v>
      </c>
      <c r="H672" s="7" t="s">
        <v>3239</v>
      </c>
      <c r="I672" s="7" t="s">
        <v>3240</v>
      </c>
      <c r="J672" s="8">
        <f>74952408424</f>
      </c>
      <c r="K672" s="8">
        <v>6090</v>
      </c>
      <c r="L672" s="7" t="s">
        <v>1276</v>
      </c>
      <c r="M672" s="8">
        <v>105</v>
      </c>
      <c r="N672" s="7" t="s">
        <v>1277</v>
      </c>
      <c r="O672" s="7" t="s">
        <v>32</v>
      </c>
      <c r="P672" s="7" t="s">
        <v>32</v>
      </c>
      <c r="Q672" s="8" t="s">
        <v>58</v>
      </c>
      <c r="R672" s="7" t="s">
        <v>33</v>
      </c>
      <c r="S672" s="7" t="s">
        <v>34</v>
      </c>
      <c r="T672" s="10">
        <v>0</v>
      </c>
      <c r="U672" s="7" t="s">
        <v>48</v>
      </c>
      <c r="V672" s="10" t="s">
        <v>214</v>
      </c>
      <c r="W672" s="7" t="s">
        <v>48</v>
      </c>
      <c r="X672" s="10" t="s">
        <v>36</v>
      </c>
      <c r="Y672" s="7" t="s">
        <v>59</v>
      </c>
    </row>
    <row x14ac:dyDescent="0.25" r="673" customHeight="1" ht="18.75">
      <c r="A673" s="11">
        <v>74220635</v>
      </c>
      <c r="B673" s="12">
        <v>1859</v>
      </c>
      <c r="C673" s="13" t="s">
        <v>3241</v>
      </c>
      <c r="D673" s="13" t="s">
        <v>3242</v>
      </c>
      <c r="E673" s="14">
        <v>74320635</v>
      </c>
      <c r="F673" s="14">
        <v>1859</v>
      </c>
      <c r="G673" s="13" t="s">
        <v>27</v>
      </c>
      <c r="H673" s="13" t="s">
        <v>3243</v>
      </c>
      <c r="I673" s="13" t="s">
        <v>3244</v>
      </c>
      <c r="J673" s="14">
        <f>74952408424</f>
      </c>
      <c r="K673" s="14">
        <v>6608</v>
      </c>
      <c r="L673" s="13" t="s">
        <v>1276</v>
      </c>
      <c r="M673" s="14">
        <v>105</v>
      </c>
      <c r="N673" s="13" t="s">
        <v>1277</v>
      </c>
      <c r="O673" s="13" t="s">
        <v>96</v>
      </c>
      <c r="P673" s="13" t="s">
        <v>2197</v>
      </c>
      <c r="Q673" s="14" t="s">
        <v>182</v>
      </c>
      <c r="R673" s="13" t="s">
        <v>33</v>
      </c>
      <c r="S673" s="13" t="s">
        <v>34</v>
      </c>
      <c r="T673" s="15">
        <v>0</v>
      </c>
      <c r="U673" s="13" t="s">
        <v>48</v>
      </c>
      <c r="V673" s="15" t="s">
        <v>214</v>
      </c>
      <c r="W673" s="13" t="s">
        <v>35</v>
      </c>
      <c r="X673" s="15" t="s">
        <v>65</v>
      </c>
      <c r="Y673" s="13" t="s">
        <v>37</v>
      </c>
    </row>
    <row x14ac:dyDescent="0.25" r="674" customHeight="1" ht="18.75">
      <c r="A674" s="5">
        <v>74220640</v>
      </c>
      <c r="B674" s="6">
        <v>1860</v>
      </c>
      <c r="C674" s="7" t="s">
        <v>3245</v>
      </c>
      <c r="D674" s="7" t="s">
        <v>3246</v>
      </c>
      <c r="E674" s="8">
        <v>74320640</v>
      </c>
      <c r="F674" s="8">
        <v>1860</v>
      </c>
      <c r="G674" s="7" t="s">
        <v>27</v>
      </c>
      <c r="H674" s="7" t="s">
        <v>3247</v>
      </c>
      <c r="I674" s="7" t="s">
        <v>3248</v>
      </c>
      <c r="J674" s="8">
        <f>74952408424</f>
      </c>
      <c r="K674" s="8">
        <v>6852</v>
      </c>
      <c r="L674" s="7" t="s">
        <v>1276</v>
      </c>
      <c r="M674" s="8">
        <v>105</v>
      </c>
      <c r="N674" s="7" t="s">
        <v>1277</v>
      </c>
      <c r="O674" s="7" t="s">
        <v>73</v>
      </c>
      <c r="P674" s="7" t="s">
        <v>3193</v>
      </c>
      <c r="Q674" s="8" t="s">
        <v>112</v>
      </c>
      <c r="R674" s="7" t="s">
        <v>33</v>
      </c>
      <c r="S674" s="7" t="s">
        <v>34</v>
      </c>
      <c r="T674" s="10">
        <v>0</v>
      </c>
      <c r="U674" s="7" t="s">
        <v>48</v>
      </c>
      <c r="V674" s="10" t="s">
        <v>214</v>
      </c>
      <c r="W674" s="7" t="s">
        <v>48</v>
      </c>
      <c r="X674" s="10" t="s">
        <v>36</v>
      </c>
      <c r="Y674" s="7" t="s">
        <v>37</v>
      </c>
    </row>
    <row x14ac:dyDescent="0.25" r="675" customHeight="1" ht="18.75">
      <c r="A675" s="11">
        <v>74220650</v>
      </c>
      <c r="B675" s="12">
        <v>1861</v>
      </c>
      <c r="C675" s="13" t="s">
        <v>3249</v>
      </c>
      <c r="D675" s="13" t="s">
        <v>3250</v>
      </c>
      <c r="E675" s="14">
        <v>74320650</v>
      </c>
      <c r="F675" s="14">
        <v>1861</v>
      </c>
      <c r="G675" s="13" t="s">
        <v>27</v>
      </c>
      <c r="H675" s="13" t="s">
        <v>3251</v>
      </c>
      <c r="I675" s="13" t="s">
        <v>3252</v>
      </c>
      <c r="J675" s="14">
        <f>74952408424</f>
      </c>
      <c r="K675" s="14">
        <v>6706</v>
      </c>
      <c r="L675" s="13" t="s">
        <v>1276</v>
      </c>
      <c r="M675" s="14">
        <v>105</v>
      </c>
      <c r="N675" s="13" t="s">
        <v>1277</v>
      </c>
      <c r="O675" s="13" t="s">
        <v>73</v>
      </c>
      <c r="P675" s="13" t="s">
        <v>3161</v>
      </c>
      <c r="Q675" s="14" t="s">
        <v>182</v>
      </c>
      <c r="R675" s="13" t="s">
        <v>33</v>
      </c>
      <c r="S675" s="13" t="s">
        <v>34</v>
      </c>
      <c r="T675" s="15">
        <v>0</v>
      </c>
      <c r="U675" s="13"/>
      <c r="V675" s="15">
        <v>0</v>
      </c>
      <c r="W675" s="13" t="s">
        <v>48</v>
      </c>
      <c r="X675" s="15" t="s">
        <v>36</v>
      </c>
      <c r="Y675" s="13" t="s">
        <v>37</v>
      </c>
    </row>
    <row x14ac:dyDescent="0.25" r="676" customHeight="1" ht="18.75">
      <c r="A676" s="5">
        <v>74220659</v>
      </c>
      <c r="B676" s="6">
        <v>1862</v>
      </c>
      <c r="C676" s="7" t="s">
        <v>3253</v>
      </c>
      <c r="D676" s="7" t="s">
        <v>3254</v>
      </c>
      <c r="E676" s="8">
        <v>74320659</v>
      </c>
      <c r="F676" s="8">
        <v>1862</v>
      </c>
      <c r="G676" s="7" t="s">
        <v>27</v>
      </c>
      <c r="H676" s="7" t="s">
        <v>3255</v>
      </c>
      <c r="I676" s="7" t="s">
        <v>3256</v>
      </c>
      <c r="J676" s="8">
        <f>74952408424</f>
      </c>
      <c r="K676" s="8">
        <v>6098</v>
      </c>
      <c r="L676" s="7" t="s">
        <v>1276</v>
      </c>
      <c r="M676" s="8">
        <v>105</v>
      </c>
      <c r="N676" s="7" t="s">
        <v>1277</v>
      </c>
      <c r="O676" s="7" t="s">
        <v>82</v>
      </c>
      <c r="P676" s="7" t="s">
        <v>2294</v>
      </c>
      <c r="Q676" s="8" t="s">
        <v>58</v>
      </c>
      <c r="R676" s="7" t="s">
        <v>33</v>
      </c>
      <c r="S676" s="7" t="s">
        <v>34</v>
      </c>
      <c r="T676" s="10">
        <v>0</v>
      </c>
      <c r="U676" s="7" t="s">
        <v>48</v>
      </c>
      <c r="V676" s="10" t="s">
        <v>125</v>
      </c>
      <c r="W676" s="7" t="s">
        <v>35</v>
      </c>
      <c r="X676" s="10" t="s">
        <v>65</v>
      </c>
      <c r="Y676" s="7" t="s">
        <v>59</v>
      </c>
    </row>
    <row x14ac:dyDescent="0.25" r="677" customHeight="1" ht="18.75">
      <c r="A677" s="11">
        <v>74220643</v>
      </c>
      <c r="B677" s="12">
        <v>1863</v>
      </c>
      <c r="C677" s="13" t="s">
        <v>3257</v>
      </c>
      <c r="D677" s="13" t="s">
        <v>3258</v>
      </c>
      <c r="E677" s="14">
        <v>74320643</v>
      </c>
      <c r="F677" s="14">
        <v>1863</v>
      </c>
      <c r="G677" s="13" t="s">
        <v>27</v>
      </c>
      <c r="H677" s="13" t="s">
        <v>3259</v>
      </c>
      <c r="I677" s="13" t="s">
        <v>3260</v>
      </c>
      <c r="J677" s="14">
        <f>74952408424</f>
      </c>
      <c r="K677" s="14">
        <v>6096</v>
      </c>
      <c r="L677" s="13" t="s">
        <v>1276</v>
      </c>
      <c r="M677" s="14">
        <v>105</v>
      </c>
      <c r="N677" s="13" t="s">
        <v>1277</v>
      </c>
      <c r="O677" s="13" t="s">
        <v>82</v>
      </c>
      <c r="P677" s="13" t="s">
        <v>2902</v>
      </c>
      <c r="Q677" s="14" t="s">
        <v>58</v>
      </c>
      <c r="R677" s="13" t="s">
        <v>33</v>
      </c>
      <c r="S677" s="13" t="s">
        <v>34</v>
      </c>
      <c r="T677" s="15">
        <v>0</v>
      </c>
      <c r="U677" s="13" t="s">
        <v>48</v>
      </c>
      <c r="V677" s="15" t="s">
        <v>214</v>
      </c>
      <c r="W677" s="13" t="s">
        <v>35</v>
      </c>
      <c r="X677" s="15" t="s">
        <v>65</v>
      </c>
      <c r="Y677" s="13" t="s">
        <v>59</v>
      </c>
    </row>
    <row x14ac:dyDescent="0.25" r="678" customHeight="1" ht="18.75">
      <c r="A678" s="5">
        <v>74220705</v>
      </c>
      <c r="B678" s="6">
        <v>1864</v>
      </c>
      <c r="C678" s="7" t="s">
        <v>3261</v>
      </c>
      <c r="D678" s="7" t="s">
        <v>3262</v>
      </c>
      <c r="E678" s="8">
        <v>74320705</v>
      </c>
      <c r="F678" s="8">
        <v>1864</v>
      </c>
      <c r="G678" s="7" t="s">
        <v>27</v>
      </c>
      <c r="H678" s="7" t="s">
        <v>3263</v>
      </c>
      <c r="I678" s="7" t="s">
        <v>3264</v>
      </c>
      <c r="J678" s="8">
        <f>74952408424</f>
      </c>
      <c r="K678" s="8">
        <v>6112</v>
      </c>
      <c r="L678" s="7" t="s">
        <v>1276</v>
      </c>
      <c r="M678" s="8">
        <v>105</v>
      </c>
      <c r="N678" s="7" t="s">
        <v>1277</v>
      </c>
      <c r="O678" s="7" t="s">
        <v>82</v>
      </c>
      <c r="P678" s="7" t="s">
        <v>2368</v>
      </c>
      <c r="Q678" s="8" t="s">
        <v>58</v>
      </c>
      <c r="R678" s="7" t="s">
        <v>33</v>
      </c>
      <c r="S678" s="7" t="s">
        <v>34</v>
      </c>
      <c r="T678" s="10">
        <v>0</v>
      </c>
      <c r="U678" s="7" t="s">
        <v>48</v>
      </c>
      <c r="V678" s="10" t="s">
        <v>214</v>
      </c>
      <c r="W678" s="7" t="s">
        <v>48</v>
      </c>
      <c r="X678" s="10" t="s">
        <v>65</v>
      </c>
      <c r="Y678" s="7" t="s">
        <v>37</v>
      </c>
    </row>
    <row x14ac:dyDescent="0.25" r="679" customHeight="1" ht="18.75">
      <c r="A679" s="11">
        <v>74220707</v>
      </c>
      <c r="B679" s="12">
        <v>1865</v>
      </c>
      <c r="C679" s="13" t="s">
        <v>3265</v>
      </c>
      <c r="D679" s="13" t="s">
        <v>3266</v>
      </c>
      <c r="E679" s="14">
        <v>74320707</v>
      </c>
      <c r="F679" s="14">
        <v>1865</v>
      </c>
      <c r="G679" s="13" t="s">
        <v>27</v>
      </c>
      <c r="H679" s="13" t="s">
        <v>3267</v>
      </c>
      <c r="I679" s="13" t="s">
        <v>3268</v>
      </c>
      <c r="J679" s="14">
        <f>74952408424</f>
      </c>
      <c r="K679" s="14">
        <v>6856</v>
      </c>
      <c r="L679" s="13" t="s">
        <v>1276</v>
      </c>
      <c r="M679" s="14">
        <v>105</v>
      </c>
      <c r="N679" s="13" t="s">
        <v>1277</v>
      </c>
      <c r="O679" s="13" t="s">
        <v>73</v>
      </c>
      <c r="P679" s="13" t="s">
        <v>3193</v>
      </c>
      <c r="Q679" s="14" t="s">
        <v>112</v>
      </c>
      <c r="R679" s="13" t="s">
        <v>33</v>
      </c>
      <c r="S679" s="13" t="s">
        <v>34</v>
      </c>
      <c r="T679" s="15">
        <v>0</v>
      </c>
      <c r="U679" s="13" t="s">
        <v>48</v>
      </c>
      <c r="V679" s="15" t="s">
        <v>64</v>
      </c>
      <c r="W679" s="13" t="s">
        <v>48</v>
      </c>
      <c r="X679" s="15" t="s">
        <v>36</v>
      </c>
      <c r="Y679" s="13" t="s">
        <v>59</v>
      </c>
    </row>
    <row x14ac:dyDescent="0.25" r="680" customHeight="1" ht="18.75">
      <c r="A680" s="5">
        <v>74220713</v>
      </c>
      <c r="B680" s="6">
        <v>1866</v>
      </c>
      <c r="C680" s="7" t="s">
        <v>3269</v>
      </c>
      <c r="D680" s="7" t="s">
        <v>3270</v>
      </c>
      <c r="E680" s="8">
        <v>74320713</v>
      </c>
      <c r="F680" s="8">
        <v>1866</v>
      </c>
      <c r="G680" s="7" t="s">
        <v>27</v>
      </c>
      <c r="H680" s="7" t="s">
        <v>3271</v>
      </c>
      <c r="I680" s="7" t="s">
        <v>3272</v>
      </c>
      <c r="J680" s="8">
        <f>74952408424</f>
      </c>
      <c r="K680" s="8">
        <v>6128</v>
      </c>
      <c r="L680" s="7" t="s">
        <v>1276</v>
      </c>
      <c r="M680" s="8">
        <v>105</v>
      </c>
      <c r="N680" s="7" t="s">
        <v>1277</v>
      </c>
      <c r="O680" s="7" t="s">
        <v>82</v>
      </c>
      <c r="P680" s="7" t="s">
        <v>3273</v>
      </c>
      <c r="Q680" s="8" t="s">
        <v>58</v>
      </c>
      <c r="R680" s="7" t="s">
        <v>33</v>
      </c>
      <c r="S680" s="7" t="s">
        <v>34</v>
      </c>
      <c r="T680" s="10">
        <v>0</v>
      </c>
      <c r="U680" s="7" t="s">
        <v>48</v>
      </c>
      <c r="V680" s="10" t="s">
        <v>214</v>
      </c>
      <c r="W680" s="7" t="s">
        <v>48</v>
      </c>
      <c r="X680" s="10" t="s">
        <v>65</v>
      </c>
      <c r="Y680" s="7" t="s">
        <v>84</v>
      </c>
    </row>
    <row x14ac:dyDescent="0.25" r="681" customHeight="1" ht="18.75">
      <c r="A681" s="11">
        <v>74220714</v>
      </c>
      <c r="B681" s="12">
        <v>1867</v>
      </c>
      <c r="C681" s="13" t="s">
        <v>3274</v>
      </c>
      <c r="D681" s="13" t="s">
        <v>3275</v>
      </c>
      <c r="E681" s="14">
        <v>74320714</v>
      </c>
      <c r="F681" s="14">
        <v>1867</v>
      </c>
      <c r="G681" s="13" t="s">
        <v>27</v>
      </c>
      <c r="H681" s="13" t="s">
        <v>3276</v>
      </c>
      <c r="I681" s="13" t="s">
        <v>3277</v>
      </c>
      <c r="J681" s="14">
        <f>74952408424</f>
      </c>
      <c r="K681" s="14">
        <v>6124</v>
      </c>
      <c r="L681" s="13" t="s">
        <v>1276</v>
      </c>
      <c r="M681" s="14">
        <v>105</v>
      </c>
      <c r="N681" s="13" t="s">
        <v>1277</v>
      </c>
      <c r="O681" s="13" t="s">
        <v>82</v>
      </c>
      <c r="P681" s="13" t="s">
        <v>3278</v>
      </c>
      <c r="Q681" s="14" t="s">
        <v>58</v>
      </c>
      <c r="R681" s="13" t="s">
        <v>33</v>
      </c>
      <c r="S681" s="13" t="s">
        <v>34</v>
      </c>
      <c r="T681" s="15">
        <v>0</v>
      </c>
      <c r="U681" s="13" t="s">
        <v>48</v>
      </c>
      <c r="V681" s="15" t="s">
        <v>214</v>
      </c>
      <c r="W681" s="13" t="s">
        <v>48</v>
      </c>
      <c r="X681" s="15" t="s">
        <v>65</v>
      </c>
      <c r="Y681" s="13" t="s">
        <v>37</v>
      </c>
    </row>
    <row x14ac:dyDescent="0.25" r="682" customHeight="1" ht="18.75">
      <c r="A682" s="5">
        <v>74220715</v>
      </c>
      <c r="B682" s="6">
        <v>1868</v>
      </c>
      <c r="C682" s="7" t="s">
        <v>3279</v>
      </c>
      <c r="D682" s="7" t="s">
        <v>3280</v>
      </c>
      <c r="E682" s="8">
        <v>74320715</v>
      </c>
      <c r="F682" s="8">
        <v>1868</v>
      </c>
      <c r="G682" s="7" t="s">
        <v>27</v>
      </c>
      <c r="H682" s="7" t="s">
        <v>3281</v>
      </c>
      <c r="I682" s="7" t="s">
        <v>3282</v>
      </c>
      <c r="J682" s="8">
        <f>74952408424</f>
      </c>
      <c r="K682" s="8">
        <v>6904</v>
      </c>
      <c r="L682" s="7" t="s">
        <v>1276</v>
      </c>
      <c r="M682" s="8">
        <v>105</v>
      </c>
      <c r="N682" s="7" t="s">
        <v>1277</v>
      </c>
      <c r="O682" s="7" t="s">
        <v>119</v>
      </c>
      <c r="P682" s="7" t="s">
        <v>1081</v>
      </c>
      <c r="Q682" s="8" t="s">
        <v>1039</v>
      </c>
      <c r="R682" s="7" t="s">
        <v>33</v>
      </c>
      <c r="S682" s="7" t="s">
        <v>34</v>
      </c>
      <c r="T682" s="10">
        <v>0</v>
      </c>
      <c r="U682" s="7"/>
      <c r="V682" s="10">
        <v>0</v>
      </c>
      <c r="W682" s="7" t="s">
        <v>48</v>
      </c>
      <c r="X682" s="10" t="s">
        <v>36</v>
      </c>
      <c r="Y682" s="7" t="s">
        <v>37</v>
      </c>
    </row>
    <row x14ac:dyDescent="0.25" r="683" customHeight="1" ht="18.75">
      <c r="A683" s="11">
        <v>74220718</v>
      </c>
      <c r="B683" s="12">
        <v>1869</v>
      </c>
      <c r="C683" s="13" t="s">
        <v>3283</v>
      </c>
      <c r="D683" s="13" t="s">
        <v>3284</v>
      </c>
      <c r="E683" s="14">
        <v>74320718</v>
      </c>
      <c r="F683" s="14">
        <v>1869</v>
      </c>
      <c r="G683" s="13" t="s">
        <v>27</v>
      </c>
      <c r="H683" s="13" t="s">
        <v>3285</v>
      </c>
      <c r="I683" s="13" t="s">
        <v>3286</v>
      </c>
      <c r="J683" s="14">
        <f>74952408424</f>
      </c>
      <c r="K683" s="14">
        <v>6906</v>
      </c>
      <c r="L683" s="13" t="s">
        <v>1276</v>
      </c>
      <c r="M683" s="14">
        <v>105</v>
      </c>
      <c r="N683" s="13" t="s">
        <v>1277</v>
      </c>
      <c r="O683" s="13" t="s">
        <v>119</v>
      </c>
      <c r="P683" s="13" t="s">
        <v>1081</v>
      </c>
      <c r="Q683" s="14" t="s">
        <v>1039</v>
      </c>
      <c r="R683" s="13" t="s">
        <v>33</v>
      </c>
      <c r="S683" s="13" t="s">
        <v>34</v>
      </c>
      <c r="T683" s="15">
        <v>0</v>
      </c>
      <c r="U683" s="13" t="s">
        <v>35</v>
      </c>
      <c r="V683" s="15" t="s">
        <v>36</v>
      </c>
      <c r="W683" s="13" t="s">
        <v>48</v>
      </c>
      <c r="X683" s="15" t="s">
        <v>3287</v>
      </c>
      <c r="Y683" s="13" t="s">
        <v>59</v>
      </c>
    </row>
    <row x14ac:dyDescent="0.25" r="684" customHeight="1" ht="18.75">
      <c r="A684" s="5">
        <v>74220723</v>
      </c>
      <c r="B684" s="6">
        <v>1870</v>
      </c>
      <c r="C684" s="7" t="s">
        <v>3288</v>
      </c>
      <c r="D684" s="7" t="s">
        <v>3289</v>
      </c>
      <c r="E684" s="8">
        <v>74320723</v>
      </c>
      <c r="F684" s="8">
        <v>1870</v>
      </c>
      <c r="G684" s="7" t="s">
        <v>27</v>
      </c>
      <c r="H684" s="7" t="s">
        <v>3290</v>
      </c>
      <c r="I684" s="7" t="s">
        <v>3291</v>
      </c>
      <c r="J684" s="8">
        <f>74952408424</f>
      </c>
      <c r="K684" s="8">
        <v>6122</v>
      </c>
      <c r="L684" s="7" t="s">
        <v>1276</v>
      </c>
      <c r="M684" s="8">
        <v>105</v>
      </c>
      <c r="N684" s="7" t="s">
        <v>1277</v>
      </c>
      <c r="O684" s="7" t="s">
        <v>82</v>
      </c>
      <c r="P684" s="7" t="s">
        <v>268</v>
      </c>
      <c r="Q684" s="8" t="s">
        <v>58</v>
      </c>
      <c r="R684" s="7" t="s">
        <v>33</v>
      </c>
      <c r="S684" s="7" t="s">
        <v>34</v>
      </c>
      <c r="T684" s="10">
        <v>0</v>
      </c>
      <c r="U684" s="7" t="s">
        <v>48</v>
      </c>
      <c r="V684" s="10" t="s">
        <v>64</v>
      </c>
      <c r="W684" s="7" t="s">
        <v>48</v>
      </c>
      <c r="X684" s="10" t="s">
        <v>36</v>
      </c>
      <c r="Y684" s="7" t="s">
        <v>59</v>
      </c>
    </row>
    <row x14ac:dyDescent="0.25" r="685" customHeight="1" ht="18.75">
      <c r="A685" s="11">
        <v>74220739</v>
      </c>
      <c r="B685" s="12">
        <v>1871</v>
      </c>
      <c r="C685" s="13" t="s">
        <v>3292</v>
      </c>
      <c r="D685" s="13" t="s">
        <v>3293</v>
      </c>
      <c r="E685" s="14">
        <v>74320739</v>
      </c>
      <c r="F685" s="14">
        <v>1871</v>
      </c>
      <c r="G685" s="13" t="s">
        <v>27</v>
      </c>
      <c r="H685" s="13" t="s">
        <v>3294</v>
      </c>
      <c r="I685" s="13" t="s">
        <v>3295</v>
      </c>
      <c r="J685" s="14">
        <f>74952408424</f>
      </c>
      <c r="K685" s="14">
        <v>6126</v>
      </c>
      <c r="L685" s="13" t="s">
        <v>1276</v>
      </c>
      <c r="M685" s="14">
        <v>105</v>
      </c>
      <c r="N685" s="13" t="s">
        <v>1277</v>
      </c>
      <c r="O685" s="13" t="s">
        <v>82</v>
      </c>
      <c r="P685" s="13" t="s">
        <v>3296</v>
      </c>
      <c r="Q685" s="14" t="s">
        <v>58</v>
      </c>
      <c r="R685" s="13" t="s">
        <v>33</v>
      </c>
      <c r="S685" s="13" t="s">
        <v>34</v>
      </c>
      <c r="T685" s="15">
        <v>0</v>
      </c>
      <c r="U685" s="13" t="s">
        <v>48</v>
      </c>
      <c r="V685" s="15" t="s">
        <v>64</v>
      </c>
      <c r="W685" s="13" t="s">
        <v>48</v>
      </c>
      <c r="X685" s="15" t="s">
        <v>65</v>
      </c>
      <c r="Y685" s="13" t="s">
        <v>37</v>
      </c>
    </row>
    <row x14ac:dyDescent="0.25" r="686" customHeight="1" ht="18.75">
      <c r="A686" s="5">
        <v>74220747</v>
      </c>
      <c r="B686" s="6">
        <v>1872</v>
      </c>
      <c r="C686" s="7" t="s">
        <v>3297</v>
      </c>
      <c r="D686" s="7" t="s">
        <v>3298</v>
      </c>
      <c r="E686" s="8">
        <v>74320747</v>
      </c>
      <c r="F686" s="8">
        <v>1872</v>
      </c>
      <c r="G686" s="7" t="s">
        <v>27</v>
      </c>
      <c r="H686" s="7" t="s">
        <v>3299</v>
      </c>
      <c r="I686" s="7" t="s">
        <v>3300</v>
      </c>
      <c r="J686" s="8">
        <f>74952408424</f>
      </c>
      <c r="K686" s="8">
        <v>6924</v>
      </c>
      <c r="L686" s="7" t="s">
        <v>1276</v>
      </c>
      <c r="M686" s="8">
        <v>105</v>
      </c>
      <c r="N686" s="7" t="s">
        <v>1277</v>
      </c>
      <c r="O686" s="7" t="s">
        <v>119</v>
      </c>
      <c r="P686" s="7" t="s">
        <v>3301</v>
      </c>
      <c r="Q686" s="8" t="s">
        <v>3302</v>
      </c>
      <c r="R686" s="7" t="s">
        <v>33</v>
      </c>
      <c r="S686" s="7" t="s">
        <v>34</v>
      </c>
      <c r="T686" s="10">
        <v>0</v>
      </c>
      <c r="U686" s="7" t="s">
        <v>48</v>
      </c>
      <c r="V686" s="10" t="s">
        <v>214</v>
      </c>
      <c r="W686" s="7" t="s">
        <v>48</v>
      </c>
      <c r="X686" s="10" t="s">
        <v>36</v>
      </c>
      <c r="Y686" s="7" t="s">
        <v>59</v>
      </c>
    </row>
    <row x14ac:dyDescent="0.25" r="687" customHeight="1" ht="18.75">
      <c r="A687" s="11">
        <v>74220752</v>
      </c>
      <c r="B687" s="12">
        <v>1873</v>
      </c>
      <c r="C687" s="13" t="s">
        <v>3303</v>
      </c>
      <c r="D687" s="13" t="s">
        <v>3304</v>
      </c>
      <c r="E687" s="14">
        <v>74320752</v>
      </c>
      <c r="F687" s="14">
        <v>1873</v>
      </c>
      <c r="G687" s="13" t="s">
        <v>27</v>
      </c>
      <c r="H687" s="13" t="s">
        <v>3305</v>
      </c>
      <c r="I687" s="13" t="s">
        <v>3306</v>
      </c>
      <c r="J687" s="14">
        <f>74952408424</f>
      </c>
      <c r="K687" s="14">
        <v>9186</v>
      </c>
      <c r="L687" s="13" t="s">
        <v>1276</v>
      </c>
      <c r="M687" s="14">
        <v>105</v>
      </c>
      <c r="N687" s="13" t="s">
        <v>1277</v>
      </c>
      <c r="O687" s="13" t="s">
        <v>82</v>
      </c>
      <c r="P687" s="13" t="s">
        <v>2897</v>
      </c>
      <c r="Q687" s="14" t="s">
        <v>58</v>
      </c>
      <c r="R687" s="13" t="s">
        <v>33</v>
      </c>
      <c r="S687" s="13" t="s">
        <v>34</v>
      </c>
      <c r="T687" s="15">
        <v>0</v>
      </c>
      <c r="U687" s="13" t="s">
        <v>48</v>
      </c>
      <c r="V687" s="15" t="s">
        <v>64</v>
      </c>
      <c r="W687" s="13" t="s">
        <v>48</v>
      </c>
      <c r="X687" s="15" t="s">
        <v>65</v>
      </c>
      <c r="Y687" s="13" t="s">
        <v>126</v>
      </c>
    </row>
    <row x14ac:dyDescent="0.25" r="688" customHeight="1" ht="18.75">
      <c r="A688" s="5">
        <v>74220756</v>
      </c>
      <c r="B688" s="6">
        <v>1874</v>
      </c>
      <c r="C688" s="7" t="s">
        <v>3307</v>
      </c>
      <c r="D688" s="7" t="s">
        <v>3308</v>
      </c>
      <c r="E688" s="8">
        <v>74320756</v>
      </c>
      <c r="F688" s="8">
        <v>1874</v>
      </c>
      <c r="G688" s="7" t="s">
        <v>27</v>
      </c>
      <c r="H688" s="7" t="s">
        <v>3309</v>
      </c>
      <c r="I688" s="7" t="s">
        <v>3310</v>
      </c>
      <c r="J688" s="8">
        <f>74952408424</f>
      </c>
      <c r="K688" s="8">
        <v>6142</v>
      </c>
      <c r="L688" s="7" t="s">
        <v>1276</v>
      </c>
      <c r="M688" s="8">
        <v>105</v>
      </c>
      <c r="N688" s="7" t="s">
        <v>1277</v>
      </c>
      <c r="O688" s="7" t="s">
        <v>82</v>
      </c>
      <c r="P688" s="7" t="s">
        <v>1178</v>
      </c>
      <c r="Q688" s="8" t="s">
        <v>58</v>
      </c>
      <c r="R688" s="7" t="s">
        <v>33</v>
      </c>
      <c r="S688" s="7" t="s">
        <v>34</v>
      </c>
      <c r="T688" s="10">
        <v>0</v>
      </c>
      <c r="U688" s="7" t="s">
        <v>48</v>
      </c>
      <c r="V688" s="10" t="s">
        <v>214</v>
      </c>
      <c r="W688" s="7" t="s">
        <v>48</v>
      </c>
      <c r="X688" s="10" t="s">
        <v>65</v>
      </c>
      <c r="Y688" s="7" t="s">
        <v>37</v>
      </c>
    </row>
    <row x14ac:dyDescent="0.25" r="689" customHeight="1" ht="18.75">
      <c r="A689" s="11">
        <v>74220766</v>
      </c>
      <c r="B689" s="12">
        <v>1875</v>
      </c>
      <c r="C689" s="13" t="s">
        <v>3311</v>
      </c>
      <c r="D689" s="13" t="s">
        <v>3312</v>
      </c>
      <c r="E689" s="14">
        <v>74320766</v>
      </c>
      <c r="F689" s="14">
        <v>1875</v>
      </c>
      <c r="G689" s="13" t="s">
        <v>27</v>
      </c>
      <c r="H689" s="13" t="s">
        <v>3313</v>
      </c>
      <c r="I689" s="13" t="s">
        <v>3314</v>
      </c>
      <c r="J689" s="14">
        <f>74952408424</f>
      </c>
      <c r="K689" s="14">
        <v>6264</v>
      </c>
      <c r="L689" s="13" t="s">
        <v>1276</v>
      </c>
      <c r="M689" s="14">
        <v>105</v>
      </c>
      <c r="N689" s="13" t="s">
        <v>1277</v>
      </c>
      <c r="O689" s="13" t="s">
        <v>96</v>
      </c>
      <c r="P689" s="13" t="s">
        <v>1799</v>
      </c>
      <c r="Q689" s="14" t="s">
        <v>3315</v>
      </c>
      <c r="R689" s="13" t="s">
        <v>33</v>
      </c>
      <c r="S689" s="13" t="s">
        <v>34</v>
      </c>
      <c r="T689" s="15">
        <v>0</v>
      </c>
      <c r="U689" s="13" t="s">
        <v>48</v>
      </c>
      <c r="V689" s="15" t="s">
        <v>64</v>
      </c>
      <c r="W689" s="13" t="s">
        <v>48</v>
      </c>
      <c r="X689" s="15" t="s">
        <v>36</v>
      </c>
      <c r="Y689" s="13" t="s">
        <v>37</v>
      </c>
    </row>
    <row x14ac:dyDescent="0.25" r="690" customHeight="1" ht="18.75">
      <c r="A690" s="5">
        <v>74220773</v>
      </c>
      <c r="B690" s="6">
        <v>1876</v>
      </c>
      <c r="C690" s="7" t="s">
        <v>3316</v>
      </c>
      <c r="D690" s="7" t="s">
        <v>3317</v>
      </c>
      <c r="E690" s="8">
        <v>74320773</v>
      </c>
      <c r="F690" s="8">
        <v>1876</v>
      </c>
      <c r="G690" s="7" t="s">
        <v>27</v>
      </c>
      <c r="H690" s="7" t="s">
        <v>3318</v>
      </c>
      <c r="I690" s="7" t="s">
        <v>3319</v>
      </c>
      <c r="J690" s="8">
        <f>74952408424</f>
      </c>
      <c r="K690" s="8">
        <v>6822</v>
      </c>
      <c r="L690" s="7" t="s">
        <v>1276</v>
      </c>
      <c r="M690" s="8">
        <v>105</v>
      </c>
      <c r="N690" s="7" t="s">
        <v>1277</v>
      </c>
      <c r="O690" s="7" t="s">
        <v>96</v>
      </c>
      <c r="P690" s="7" t="s">
        <v>3320</v>
      </c>
      <c r="Q690" s="8" t="s">
        <v>182</v>
      </c>
      <c r="R690" s="7" t="s">
        <v>33</v>
      </c>
      <c r="S690" s="7" t="s">
        <v>34</v>
      </c>
      <c r="T690" s="10">
        <v>0</v>
      </c>
      <c r="U690" s="7" t="s">
        <v>48</v>
      </c>
      <c r="V690" s="10" t="s">
        <v>64</v>
      </c>
      <c r="W690" s="7" t="s">
        <v>48</v>
      </c>
      <c r="X690" s="10" t="s">
        <v>36</v>
      </c>
      <c r="Y690" s="7" t="s">
        <v>126</v>
      </c>
    </row>
    <row x14ac:dyDescent="0.25" r="691" customHeight="1" ht="18.75">
      <c r="A691" s="11">
        <v>74220770</v>
      </c>
      <c r="B691" s="12">
        <v>1877</v>
      </c>
      <c r="C691" s="13" t="s">
        <v>3321</v>
      </c>
      <c r="D691" s="13" t="s">
        <v>3322</v>
      </c>
      <c r="E691" s="14">
        <v>74320770</v>
      </c>
      <c r="F691" s="14">
        <v>1877</v>
      </c>
      <c r="G691" s="13" t="s">
        <v>27</v>
      </c>
      <c r="H691" s="13" t="s">
        <v>3323</v>
      </c>
      <c r="I691" s="13" t="s">
        <v>3324</v>
      </c>
      <c r="J691" s="14">
        <f>74952408424</f>
      </c>
      <c r="K691" s="14">
        <v>6384</v>
      </c>
      <c r="L691" s="13" t="s">
        <v>1276</v>
      </c>
      <c r="M691" s="14">
        <v>105</v>
      </c>
      <c r="N691" s="13" t="s">
        <v>1277</v>
      </c>
      <c r="O691" s="13" t="s">
        <v>73</v>
      </c>
      <c r="P691" s="13" t="s">
        <v>1532</v>
      </c>
      <c r="Q691" s="14" t="s">
        <v>1533</v>
      </c>
      <c r="R691" s="13" t="s">
        <v>33</v>
      </c>
      <c r="S691" s="13" t="s">
        <v>34</v>
      </c>
      <c r="T691" s="15">
        <v>0</v>
      </c>
      <c r="U691" s="13"/>
      <c r="V691" s="15">
        <v>0</v>
      </c>
      <c r="W691" s="13" t="s">
        <v>48</v>
      </c>
      <c r="X691" s="15" t="s">
        <v>65</v>
      </c>
      <c r="Y691" s="13" t="s">
        <v>126</v>
      </c>
    </row>
    <row x14ac:dyDescent="0.25" r="692" customHeight="1" ht="18.75">
      <c r="A692" s="5">
        <v>74220769</v>
      </c>
      <c r="B692" s="6">
        <v>1878</v>
      </c>
      <c r="C692" s="7" t="s">
        <v>3325</v>
      </c>
      <c r="D692" s="7" t="s">
        <v>3326</v>
      </c>
      <c r="E692" s="8">
        <v>74320769</v>
      </c>
      <c r="F692" s="8">
        <v>1878</v>
      </c>
      <c r="G692" s="7" t="s">
        <v>27</v>
      </c>
      <c r="H692" s="7" t="s">
        <v>3327</v>
      </c>
      <c r="I692" s="7" t="s">
        <v>3328</v>
      </c>
      <c r="J692" s="8">
        <f>74952408424</f>
      </c>
      <c r="K692" s="8">
        <v>6116</v>
      </c>
      <c r="L692" s="7" t="s">
        <v>1276</v>
      </c>
      <c r="M692" s="8">
        <v>105</v>
      </c>
      <c r="N692" s="7" t="s">
        <v>1277</v>
      </c>
      <c r="O692" s="7" t="s">
        <v>32</v>
      </c>
      <c r="P692" s="7" t="s">
        <v>32</v>
      </c>
      <c r="Q692" s="8" t="s">
        <v>58</v>
      </c>
      <c r="R692" s="7" t="s">
        <v>33</v>
      </c>
      <c r="S692" s="7" t="s">
        <v>34</v>
      </c>
      <c r="T692" s="10">
        <v>0</v>
      </c>
      <c r="U692" s="7" t="s">
        <v>48</v>
      </c>
      <c r="V692" s="10" t="s">
        <v>214</v>
      </c>
      <c r="W692" s="7" t="s">
        <v>48</v>
      </c>
      <c r="X692" s="10" t="s">
        <v>36</v>
      </c>
      <c r="Y692" s="7" t="s">
        <v>59</v>
      </c>
    </row>
    <row x14ac:dyDescent="0.25" r="693" customHeight="1" ht="18.75">
      <c r="A693" s="11">
        <v>74220768</v>
      </c>
      <c r="B693" s="12">
        <v>1879</v>
      </c>
      <c r="C693" s="13" t="s">
        <v>3329</v>
      </c>
      <c r="D693" s="13" t="s">
        <v>3330</v>
      </c>
      <c r="E693" s="14">
        <v>74320768</v>
      </c>
      <c r="F693" s="14">
        <v>1879</v>
      </c>
      <c r="G693" s="13" t="s">
        <v>27</v>
      </c>
      <c r="H693" s="13" t="s">
        <v>3331</v>
      </c>
      <c r="I693" s="13" t="s">
        <v>3332</v>
      </c>
      <c r="J693" s="14">
        <f>74952408424</f>
      </c>
      <c r="K693" s="14">
        <v>6140</v>
      </c>
      <c r="L693" s="13" t="s">
        <v>1276</v>
      </c>
      <c r="M693" s="14">
        <v>105</v>
      </c>
      <c r="N693" s="13" t="s">
        <v>1277</v>
      </c>
      <c r="O693" s="13" t="s">
        <v>82</v>
      </c>
      <c r="P693" s="13" t="s">
        <v>637</v>
      </c>
      <c r="Q693" s="14" t="s">
        <v>58</v>
      </c>
      <c r="R693" s="13" t="s">
        <v>33</v>
      </c>
      <c r="S693" s="13" t="s">
        <v>34</v>
      </c>
      <c r="T693" s="15">
        <v>0</v>
      </c>
      <c r="U693" s="13" t="s">
        <v>48</v>
      </c>
      <c r="V693" s="15" t="s">
        <v>214</v>
      </c>
      <c r="W693" s="13" t="s">
        <v>48</v>
      </c>
      <c r="X693" s="15" t="s">
        <v>65</v>
      </c>
      <c r="Y693" s="13" t="s">
        <v>59</v>
      </c>
    </row>
    <row x14ac:dyDescent="0.25" r="694" customHeight="1" ht="18.75">
      <c r="A694" s="5">
        <v>74220765</v>
      </c>
      <c r="B694" s="6">
        <v>1880</v>
      </c>
      <c r="C694" s="7" t="s">
        <v>3333</v>
      </c>
      <c r="D694" s="7" t="s">
        <v>3334</v>
      </c>
      <c r="E694" s="8">
        <v>74320765</v>
      </c>
      <c r="F694" s="8">
        <v>1880</v>
      </c>
      <c r="G694" s="7" t="s">
        <v>27</v>
      </c>
      <c r="H694" s="7" t="s">
        <v>3335</v>
      </c>
      <c r="I694" s="7" t="s">
        <v>3336</v>
      </c>
      <c r="J694" s="8">
        <f>74952408424</f>
      </c>
      <c r="K694" s="8">
        <v>6266</v>
      </c>
      <c r="L694" s="7" t="s">
        <v>1276</v>
      </c>
      <c r="M694" s="8">
        <v>105</v>
      </c>
      <c r="N694" s="7" t="s">
        <v>1277</v>
      </c>
      <c r="O694" s="7" t="s">
        <v>96</v>
      </c>
      <c r="P694" s="7" t="s">
        <v>1799</v>
      </c>
      <c r="Q694" s="8" t="s">
        <v>182</v>
      </c>
      <c r="R694" s="7" t="s">
        <v>33</v>
      </c>
      <c r="S694" s="7" t="s">
        <v>34</v>
      </c>
      <c r="T694" s="10">
        <v>0</v>
      </c>
      <c r="U694" s="7" t="s">
        <v>48</v>
      </c>
      <c r="V694" s="10" t="s">
        <v>64</v>
      </c>
      <c r="W694" s="7" t="s">
        <v>48</v>
      </c>
      <c r="X694" s="10" t="s">
        <v>36</v>
      </c>
      <c r="Y694" s="7" t="s">
        <v>59</v>
      </c>
    </row>
    <row x14ac:dyDescent="0.25" r="695" customHeight="1" ht="18.75">
      <c r="A695" s="11">
        <v>74220778</v>
      </c>
      <c r="B695" s="12">
        <v>1881</v>
      </c>
      <c r="C695" s="13" t="s">
        <v>3337</v>
      </c>
      <c r="D695" s="13" t="s">
        <v>3338</v>
      </c>
      <c r="E695" s="14">
        <v>74320778</v>
      </c>
      <c r="F695" s="14">
        <v>1881</v>
      </c>
      <c r="G695" s="13" t="s">
        <v>27</v>
      </c>
      <c r="H695" s="13" t="s">
        <v>3339</v>
      </c>
      <c r="I695" s="13" t="s">
        <v>3340</v>
      </c>
      <c r="J695" s="14">
        <f>74952408424</f>
      </c>
      <c r="K695" s="14">
        <v>6146</v>
      </c>
      <c r="L695" s="13" t="s">
        <v>1276</v>
      </c>
      <c r="M695" s="14">
        <v>105</v>
      </c>
      <c r="N695" s="13" t="s">
        <v>1277</v>
      </c>
      <c r="O695" s="13" t="s">
        <v>82</v>
      </c>
      <c r="P695" s="13" t="s">
        <v>2486</v>
      </c>
      <c r="Q695" s="14" t="s">
        <v>58</v>
      </c>
      <c r="R695" s="13" t="s">
        <v>33</v>
      </c>
      <c r="S695" s="13" t="s">
        <v>34</v>
      </c>
      <c r="T695" s="15">
        <v>0</v>
      </c>
      <c r="U695" s="13" t="s">
        <v>48</v>
      </c>
      <c r="V695" s="15" t="s">
        <v>64</v>
      </c>
      <c r="W695" s="13" t="s">
        <v>48</v>
      </c>
      <c r="X695" s="15" t="s">
        <v>65</v>
      </c>
      <c r="Y695" s="13" t="s">
        <v>84</v>
      </c>
    </row>
    <row x14ac:dyDescent="0.25" r="696" customHeight="1" ht="18.75">
      <c r="A696" s="5">
        <v>74220779</v>
      </c>
      <c r="B696" s="6">
        <v>1882</v>
      </c>
      <c r="C696" s="7" t="s">
        <v>3341</v>
      </c>
      <c r="D696" s="7" t="s">
        <v>3342</v>
      </c>
      <c r="E696" s="8">
        <v>74320779</v>
      </c>
      <c r="F696" s="8">
        <v>1882</v>
      </c>
      <c r="G696" s="7" t="s">
        <v>27</v>
      </c>
      <c r="H696" s="7" t="s">
        <v>3343</v>
      </c>
      <c r="I696" s="7" t="s">
        <v>3344</v>
      </c>
      <c r="J696" s="8">
        <f>74952408424</f>
      </c>
      <c r="K696" s="8">
        <v>6158</v>
      </c>
      <c r="L696" s="7" t="s">
        <v>1276</v>
      </c>
      <c r="M696" s="8">
        <v>105</v>
      </c>
      <c r="N696" s="7" t="s">
        <v>1277</v>
      </c>
      <c r="O696" s="7" t="s">
        <v>82</v>
      </c>
      <c r="P696" s="7" t="s">
        <v>2486</v>
      </c>
      <c r="Q696" s="8" t="s">
        <v>58</v>
      </c>
      <c r="R696" s="7" t="s">
        <v>33</v>
      </c>
      <c r="S696" s="7" t="s">
        <v>34</v>
      </c>
      <c r="T696" s="10">
        <v>0</v>
      </c>
      <c r="U696" s="7" t="s">
        <v>48</v>
      </c>
      <c r="V696" s="10" t="s">
        <v>214</v>
      </c>
      <c r="W696" s="7" t="s">
        <v>48</v>
      </c>
      <c r="X696" s="10" t="s">
        <v>65</v>
      </c>
      <c r="Y696" s="7" t="s">
        <v>84</v>
      </c>
    </row>
    <row x14ac:dyDescent="0.25" r="697" customHeight="1" ht="18.75">
      <c r="A697" s="11">
        <v>74220780</v>
      </c>
      <c r="B697" s="12">
        <v>1883</v>
      </c>
      <c r="C697" s="13" t="s">
        <v>3345</v>
      </c>
      <c r="D697" s="13" t="s">
        <v>3346</v>
      </c>
      <c r="E697" s="14">
        <v>74320780</v>
      </c>
      <c r="F697" s="14">
        <v>1883</v>
      </c>
      <c r="G697" s="13" t="s">
        <v>27</v>
      </c>
      <c r="H697" s="13" t="s">
        <v>3347</v>
      </c>
      <c r="I697" s="13" t="s">
        <v>3348</v>
      </c>
      <c r="J697" s="14">
        <f>74952408424</f>
      </c>
      <c r="K697" s="14">
        <v>6314</v>
      </c>
      <c r="L697" s="13" t="s">
        <v>1276</v>
      </c>
      <c r="M697" s="14">
        <v>105</v>
      </c>
      <c r="N697" s="13" t="s">
        <v>1277</v>
      </c>
      <c r="O697" s="13" t="s">
        <v>73</v>
      </c>
      <c r="P697" s="13" t="s">
        <v>1872</v>
      </c>
      <c r="Q697" s="14" t="s">
        <v>1742</v>
      </c>
      <c r="R697" s="13" t="s">
        <v>33</v>
      </c>
      <c r="S697" s="13" t="s">
        <v>34</v>
      </c>
      <c r="T697" s="15">
        <v>0</v>
      </c>
      <c r="U697" s="13" t="s">
        <v>48</v>
      </c>
      <c r="V697" s="15" t="s">
        <v>214</v>
      </c>
      <c r="W697" s="13" t="s">
        <v>48</v>
      </c>
      <c r="X697" s="15" t="s">
        <v>36</v>
      </c>
      <c r="Y697" s="13" t="s">
        <v>37</v>
      </c>
    </row>
    <row x14ac:dyDescent="0.25" r="698" customHeight="1" ht="18.75">
      <c r="A698" s="5">
        <v>74220781</v>
      </c>
      <c r="B698" s="6">
        <v>1884</v>
      </c>
      <c r="C698" s="7" t="s">
        <v>3349</v>
      </c>
      <c r="D698" s="7" t="s">
        <v>3350</v>
      </c>
      <c r="E698" s="8">
        <v>74320781</v>
      </c>
      <c r="F698" s="8">
        <v>1884</v>
      </c>
      <c r="G698" s="7" t="s">
        <v>27</v>
      </c>
      <c r="H698" s="7" t="s">
        <v>3351</v>
      </c>
      <c r="I698" s="7" t="s">
        <v>3352</v>
      </c>
      <c r="J698" s="8">
        <f>74952408424</f>
      </c>
      <c r="K698" s="8">
        <v>6922</v>
      </c>
      <c r="L698" s="7" t="s">
        <v>1276</v>
      </c>
      <c r="M698" s="8">
        <v>105</v>
      </c>
      <c r="N698" s="7" t="s">
        <v>1277</v>
      </c>
      <c r="O698" s="7" t="s">
        <v>119</v>
      </c>
      <c r="P698" s="7" t="s">
        <v>3301</v>
      </c>
      <c r="Q698" s="8" t="s">
        <v>3353</v>
      </c>
      <c r="R698" s="7" t="s">
        <v>33</v>
      </c>
      <c r="S698" s="7" t="s">
        <v>34</v>
      </c>
      <c r="T698" s="10">
        <v>0</v>
      </c>
      <c r="U698" s="7" t="s">
        <v>48</v>
      </c>
      <c r="V698" s="10" t="s">
        <v>214</v>
      </c>
      <c r="W698" s="7" t="s">
        <v>48</v>
      </c>
      <c r="X698" s="10" t="s">
        <v>36</v>
      </c>
      <c r="Y698" s="7" t="s">
        <v>59</v>
      </c>
    </row>
    <row x14ac:dyDescent="0.25" r="699" customHeight="1" ht="18.75">
      <c r="A699" s="11">
        <v>74220788</v>
      </c>
      <c r="B699" s="12">
        <v>1885</v>
      </c>
      <c r="C699" s="13" t="s">
        <v>3354</v>
      </c>
      <c r="D699" s="13" t="s">
        <v>3355</v>
      </c>
      <c r="E699" s="14">
        <v>74320788</v>
      </c>
      <c r="F699" s="14">
        <v>1885</v>
      </c>
      <c r="G699" s="13" t="s">
        <v>27</v>
      </c>
      <c r="H699" s="13" t="s">
        <v>3356</v>
      </c>
      <c r="I699" s="13" t="s">
        <v>3357</v>
      </c>
      <c r="J699" s="14">
        <f>74952408424</f>
      </c>
      <c r="K699" s="14">
        <v>6148</v>
      </c>
      <c r="L699" s="13" t="s">
        <v>1276</v>
      </c>
      <c r="M699" s="14">
        <v>105</v>
      </c>
      <c r="N699" s="13" t="s">
        <v>1277</v>
      </c>
      <c r="O699" s="13" t="s">
        <v>32</v>
      </c>
      <c r="P699" s="13" t="s">
        <v>32</v>
      </c>
      <c r="Q699" s="14" t="s">
        <v>58</v>
      </c>
      <c r="R699" s="13" t="s">
        <v>33</v>
      </c>
      <c r="S699" s="13" t="s">
        <v>34</v>
      </c>
      <c r="T699" s="15">
        <v>0</v>
      </c>
      <c r="U699" s="13" t="s">
        <v>48</v>
      </c>
      <c r="V699" s="15" t="s">
        <v>64</v>
      </c>
      <c r="W699" s="13" t="s">
        <v>48</v>
      </c>
      <c r="X699" s="15" t="s">
        <v>36</v>
      </c>
      <c r="Y699" s="13" t="s">
        <v>59</v>
      </c>
    </row>
    <row x14ac:dyDescent="0.25" r="700" customHeight="1" ht="18.75">
      <c r="A700" s="5">
        <v>74220797</v>
      </c>
      <c r="B700" s="6">
        <v>1886</v>
      </c>
      <c r="C700" s="7" t="s">
        <v>3358</v>
      </c>
      <c r="D700" s="7" t="s">
        <v>3359</v>
      </c>
      <c r="E700" s="8">
        <v>74320797</v>
      </c>
      <c r="F700" s="8">
        <v>1886</v>
      </c>
      <c r="G700" s="7" t="s">
        <v>27</v>
      </c>
      <c r="H700" s="7" t="s">
        <v>3360</v>
      </c>
      <c r="I700" s="7" t="s">
        <v>3361</v>
      </c>
      <c r="J700" s="8">
        <f>74952408424</f>
      </c>
      <c r="K700" s="8">
        <v>6132</v>
      </c>
      <c r="L700" s="7" t="s">
        <v>1276</v>
      </c>
      <c r="M700" s="8">
        <v>105</v>
      </c>
      <c r="N700" s="7" t="s">
        <v>1277</v>
      </c>
      <c r="O700" s="7" t="s">
        <v>82</v>
      </c>
      <c r="P700" s="7" t="s">
        <v>603</v>
      </c>
      <c r="Q700" s="8" t="s">
        <v>58</v>
      </c>
      <c r="R700" s="7" t="s">
        <v>33</v>
      </c>
      <c r="S700" s="7" t="s">
        <v>34</v>
      </c>
      <c r="T700" s="10">
        <v>0</v>
      </c>
      <c r="U700" s="7" t="s">
        <v>48</v>
      </c>
      <c r="V700" s="10" t="s">
        <v>214</v>
      </c>
      <c r="W700" s="7" t="s">
        <v>48</v>
      </c>
      <c r="X700" s="10" t="s">
        <v>65</v>
      </c>
      <c r="Y700" s="7" t="s">
        <v>84</v>
      </c>
    </row>
    <row x14ac:dyDescent="0.25" r="701" customHeight="1" ht="18.75">
      <c r="A701" s="11">
        <v>74220805</v>
      </c>
      <c r="B701" s="12">
        <v>1887</v>
      </c>
      <c r="C701" s="13" t="s">
        <v>3362</v>
      </c>
      <c r="D701" s="13" t="s">
        <v>3363</v>
      </c>
      <c r="E701" s="14">
        <v>74320805</v>
      </c>
      <c r="F701" s="14">
        <v>1887</v>
      </c>
      <c r="G701" s="13" t="s">
        <v>27</v>
      </c>
      <c r="H701" s="13" t="s">
        <v>3364</v>
      </c>
      <c r="I701" s="13" t="s">
        <v>3365</v>
      </c>
      <c r="J701" s="14">
        <f>74952408424</f>
      </c>
      <c r="K701" s="14">
        <v>6154</v>
      </c>
      <c r="L701" s="13" t="s">
        <v>1276</v>
      </c>
      <c r="M701" s="14">
        <v>105</v>
      </c>
      <c r="N701" s="13" t="s">
        <v>1277</v>
      </c>
      <c r="O701" s="13" t="s">
        <v>82</v>
      </c>
      <c r="P701" s="13" t="s">
        <v>268</v>
      </c>
      <c r="Q701" s="14" t="s">
        <v>58</v>
      </c>
      <c r="R701" s="13" t="s">
        <v>33</v>
      </c>
      <c r="S701" s="13" t="s">
        <v>34</v>
      </c>
      <c r="T701" s="15">
        <v>0</v>
      </c>
      <c r="U701" s="13" t="s">
        <v>48</v>
      </c>
      <c r="V701" s="15" t="s">
        <v>214</v>
      </c>
      <c r="W701" s="13" t="s">
        <v>48</v>
      </c>
      <c r="X701" s="15" t="s">
        <v>36</v>
      </c>
      <c r="Y701" s="13" t="s">
        <v>37</v>
      </c>
    </row>
    <row x14ac:dyDescent="0.25" r="702" customHeight="1" ht="18.75">
      <c r="A702" s="5">
        <v>74220821</v>
      </c>
      <c r="B702" s="6">
        <v>1888</v>
      </c>
      <c r="C702" s="7" t="s">
        <v>3366</v>
      </c>
      <c r="D702" s="7" t="s">
        <v>3367</v>
      </c>
      <c r="E702" s="8">
        <v>74320821</v>
      </c>
      <c r="F702" s="8">
        <v>1888</v>
      </c>
      <c r="G702" s="7" t="s">
        <v>27</v>
      </c>
      <c r="H702" s="7" t="s">
        <v>3368</v>
      </c>
      <c r="I702" s="7" t="s">
        <v>3369</v>
      </c>
      <c r="J702" s="8">
        <f>74952408424</f>
      </c>
      <c r="K702" s="8">
        <v>6120</v>
      </c>
      <c r="L702" s="7" t="s">
        <v>1276</v>
      </c>
      <c r="M702" s="8">
        <v>105</v>
      </c>
      <c r="N702" s="7" t="s">
        <v>1277</v>
      </c>
      <c r="O702" s="7" t="s">
        <v>82</v>
      </c>
      <c r="P702" s="7" t="s">
        <v>3370</v>
      </c>
      <c r="Q702" s="8" t="s">
        <v>58</v>
      </c>
      <c r="R702" s="7" t="s">
        <v>33</v>
      </c>
      <c r="S702" s="7" t="s">
        <v>34</v>
      </c>
      <c r="T702" s="10">
        <v>0</v>
      </c>
      <c r="U702" s="7" t="s">
        <v>48</v>
      </c>
      <c r="V702" s="10" t="s">
        <v>214</v>
      </c>
      <c r="W702" s="7" t="s">
        <v>48</v>
      </c>
      <c r="X702" s="10" t="s">
        <v>36</v>
      </c>
      <c r="Y702" s="7" t="s">
        <v>84</v>
      </c>
    </row>
    <row x14ac:dyDescent="0.25" r="703" customHeight="1" ht="18.75">
      <c r="A703" s="11">
        <v>74220822</v>
      </c>
      <c r="B703" s="12">
        <v>1889</v>
      </c>
      <c r="C703" s="13" t="s">
        <v>3371</v>
      </c>
      <c r="D703" s="13" t="s">
        <v>3372</v>
      </c>
      <c r="E703" s="14">
        <v>74320822</v>
      </c>
      <c r="F703" s="14">
        <v>1889</v>
      </c>
      <c r="G703" s="13" t="s">
        <v>27</v>
      </c>
      <c r="H703" s="13" t="s">
        <v>3373</v>
      </c>
      <c r="I703" s="13" t="s">
        <v>3374</v>
      </c>
      <c r="J703" s="14">
        <f>78462150333</f>
      </c>
      <c r="K703" s="14">
        <v>6524</v>
      </c>
      <c r="L703" s="13" t="s">
        <v>1276</v>
      </c>
      <c r="M703" s="14">
        <v>105</v>
      </c>
      <c r="N703" s="13" t="s">
        <v>1277</v>
      </c>
      <c r="O703" s="13" t="s">
        <v>44</v>
      </c>
      <c r="P703" s="13" t="s">
        <v>2876</v>
      </c>
      <c r="Q703" s="14" t="s">
        <v>58</v>
      </c>
      <c r="R703" s="13" t="s">
        <v>33</v>
      </c>
      <c r="S703" s="13" t="s">
        <v>34</v>
      </c>
      <c r="T703" s="15">
        <v>0</v>
      </c>
      <c r="U703" s="13" t="s">
        <v>48</v>
      </c>
      <c r="V703" s="15" t="s">
        <v>64</v>
      </c>
      <c r="W703" s="13" t="s">
        <v>48</v>
      </c>
      <c r="X703" s="15" t="s">
        <v>65</v>
      </c>
      <c r="Y703" s="13" t="s">
        <v>59</v>
      </c>
    </row>
    <row x14ac:dyDescent="0.25" r="704" customHeight="1" ht="18.75">
      <c r="A704" s="5">
        <v>74220825</v>
      </c>
      <c r="B704" s="6">
        <v>1890</v>
      </c>
      <c r="C704" s="7" t="s">
        <v>3375</v>
      </c>
      <c r="D704" s="7" t="s">
        <v>3376</v>
      </c>
      <c r="E704" s="8">
        <v>74320825</v>
      </c>
      <c r="F704" s="8">
        <v>1890</v>
      </c>
      <c r="G704" s="7" t="s">
        <v>27</v>
      </c>
      <c r="H704" s="7" t="s">
        <v>3377</v>
      </c>
      <c r="I704" s="7" t="s">
        <v>3378</v>
      </c>
      <c r="J704" s="8">
        <f>74952408424</f>
      </c>
      <c r="K704" s="8">
        <v>6150</v>
      </c>
      <c r="L704" s="7" t="s">
        <v>1276</v>
      </c>
      <c r="M704" s="8">
        <v>105</v>
      </c>
      <c r="N704" s="7" t="s">
        <v>1277</v>
      </c>
      <c r="O704" s="7" t="s">
        <v>32</v>
      </c>
      <c r="P704" s="7" t="s">
        <v>32</v>
      </c>
      <c r="Q704" s="8" t="s">
        <v>58</v>
      </c>
      <c r="R704" s="7" t="s">
        <v>33</v>
      </c>
      <c r="S704" s="7" t="s">
        <v>34</v>
      </c>
      <c r="T704" s="10">
        <v>0</v>
      </c>
      <c r="U704" s="7" t="s">
        <v>48</v>
      </c>
      <c r="V704" s="10" t="s">
        <v>214</v>
      </c>
      <c r="W704" s="7" t="s">
        <v>48</v>
      </c>
      <c r="X704" s="10" t="s">
        <v>36</v>
      </c>
      <c r="Y704" s="7" t="s">
        <v>59</v>
      </c>
    </row>
    <row x14ac:dyDescent="0.25" r="705" customHeight="1" ht="18.75">
      <c r="A705" s="11">
        <v>74220827</v>
      </c>
      <c r="B705" s="12">
        <v>1891</v>
      </c>
      <c r="C705" s="13" t="s">
        <v>3379</v>
      </c>
      <c r="D705" s="13" t="s">
        <v>3380</v>
      </c>
      <c r="E705" s="14">
        <v>74320827</v>
      </c>
      <c r="F705" s="14">
        <v>1891</v>
      </c>
      <c r="G705" s="13" t="s">
        <v>27</v>
      </c>
      <c r="H705" s="13" t="s">
        <v>3381</v>
      </c>
      <c r="I705" s="13" t="s">
        <v>3382</v>
      </c>
      <c r="J705" s="14">
        <f>74952408424</f>
      </c>
      <c r="K705" s="14">
        <v>6926</v>
      </c>
      <c r="L705" s="13" t="s">
        <v>1276</v>
      </c>
      <c r="M705" s="14">
        <v>105</v>
      </c>
      <c r="N705" s="13" t="s">
        <v>1277</v>
      </c>
      <c r="O705" s="13" t="s">
        <v>119</v>
      </c>
      <c r="P705" s="13" t="s">
        <v>3301</v>
      </c>
      <c r="Q705" s="14" t="s">
        <v>3383</v>
      </c>
      <c r="R705" s="13" t="s">
        <v>33</v>
      </c>
      <c r="S705" s="13" t="s">
        <v>34</v>
      </c>
      <c r="T705" s="15">
        <v>0</v>
      </c>
      <c r="U705" s="13" t="s">
        <v>48</v>
      </c>
      <c r="V705" s="15" t="s">
        <v>214</v>
      </c>
      <c r="W705" s="13" t="s">
        <v>48</v>
      </c>
      <c r="X705" s="15" t="s">
        <v>36</v>
      </c>
      <c r="Y705" s="13" t="s">
        <v>37</v>
      </c>
    </row>
    <row x14ac:dyDescent="0.25" r="706" customHeight="1" ht="18.75">
      <c r="A706" s="5">
        <v>74220833</v>
      </c>
      <c r="B706" s="6">
        <v>1892</v>
      </c>
      <c r="C706" s="7" t="s">
        <v>3384</v>
      </c>
      <c r="D706" s="7" t="s">
        <v>3385</v>
      </c>
      <c r="E706" s="8">
        <v>74320833</v>
      </c>
      <c r="F706" s="8">
        <v>1892</v>
      </c>
      <c r="G706" s="7" t="s">
        <v>27</v>
      </c>
      <c r="H706" s="7" t="s">
        <v>3386</v>
      </c>
      <c r="I706" s="7" t="s">
        <v>3387</v>
      </c>
      <c r="J706" s="8">
        <f>74952408424</f>
      </c>
      <c r="K706" s="8">
        <v>6152</v>
      </c>
      <c r="L706" s="7" t="s">
        <v>1276</v>
      </c>
      <c r="M706" s="8">
        <v>105</v>
      </c>
      <c r="N706" s="7" t="s">
        <v>1277</v>
      </c>
      <c r="O706" s="7" t="s">
        <v>32</v>
      </c>
      <c r="P706" s="7" t="s">
        <v>32</v>
      </c>
      <c r="Q706" s="8" t="s">
        <v>58</v>
      </c>
      <c r="R706" s="7" t="s">
        <v>33</v>
      </c>
      <c r="S706" s="7" t="s">
        <v>34</v>
      </c>
      <c r="T706" s="10">
        <v>0</v>
      </c>
      <c r="U706" s="7" t="s">
        <v>48</v>
      </c>
      <c r="V706" s="10" t="s">
        <v>64</v>
      </c>
      <c r="W706" s="7" t="s">
        <v>48</v>
      </c>
      <c r="X706" s="10" t="s">
        <v>36</v>
      </c>
      <c r="Y706" s="7" t="s">
        <v>59</v>
      </c>
    </row>
    <row x14ac:dyDescent="0.25" r="707" customHeight="1" ht="18.75">
      <c r="A707" s="11">
        <v>74220854</v>
      </c>
      <c r="B707" s="12">
        <v>1893</v>
      </c>
      <c r="C707" s="13" t="s">
        <v>3388</v>
      </c>
      <c r="D707" s="13" t="s">
        <v>3389</v>
      </c>
      <c r="E707" s="14">
        <v>74320854</v>
      </c>
      <c r="F707" s="14">
        <v>1893</v>
      </c>
      <c r="G707" s="13" t="s">
        <v>27</v>
      </c>
      <c r="H707" s="13" t="s">
        <v>3390</v>
      </c>
      <c r="I707" s="13" t="s">
        <v>3391</v>
      </c>
      <c r="J707" s="14">
        <f>74952408424</f>
      </c>
      <c r="K707" s="14">
        <v>6262</v>
      </c>
      <c r="L707" s="13" t="s">
        <v>1276</v>
      </c>
      <c r="M707" s="14">
        <v>105</v>
      </c>
      <c r="N707" s="13" t="s">
        <v>1277</v>
      </c>
      <c r="O707" s="13" t="s">
        <v>96</v>
      </c>
      <c r="P707" s="13" t="s">
        <v>1799</v>
      </c>
      <c r="Q707" s="14" t="s">
        <v>3392</v>
      </c>
      <c r="R707" s="13" t="s">
        <v>33</v>
      </c>
      <c r="S707" s="13" t="s">
        <v>34</v>
      </c>
      <c r="T707" s="15">
        <v>0</v>
      </c>
      <c r="U707" s="13" t="s">
        <v>48</v>
      </c>
      <c r="V707" s="15" t="s">
        <v>64</v>
      </c>
      <c r="W707" s="13" t="s">
        <v>48</v>
      </c>
      <c r="X707" s="15" t="s">
        <v>36</v>
      </c>
      <c r="Y707" s="13" t="s">
        <v>126</v>
      </c>
    </row>
    <row x14ac:dyDescent="0.25" r="708" customHeight="1" ht="18.75">
      <c r="A708" s="5">
        <v>74220858</v>
      </c>
      <c r="B708" s="6">
        <v>1894</v>
      </c>
      <c r="C708" s="7" t="s">
        <v>3393</v>
      </c>
      <c r="D708" s="7" t="s">
        <v>3394</v>
      </c>
      <c r="E708" s="8">
        <v>74320858</v>
      </c>
      <c r="F708" s="8">
        <v>1894</v>
      </c>
      <c r="G708" s="7" t="s">
        <v>27</v>
      </c>
      <c r="H708" s="7" t="s">
        <v>3395</v>
      </c>
      <c r="I708" s="7" t="s">
        <v>3396</v>
      </c>
      <c r="J708" s="8">
        <f>74959812794</f>
      </c>
      <c r="K708" s="9"/>
      <c r="L708" s="7" t="s">
        <v>1276</v>
      </c>
      <c r="M708" s="8">
        <v>105</v>
      </c>
      <c r="N708" s="7" t="s">
        <v>1277</v>
      </c>
      <c r="O708" s="7" t="s">
        <v>73</v>
      </c>
      <c r="P708" s="7" t="s">
        <v>2181</v>
      </c>
      <c r="Q708" s="8" t="s">
        <v>182</v>
      </c>
      <c r="R708" s="7" t="s">
        <v>33</v>
      </c>
      <c r="S708" s="7" t="s">
        <v>34</v>
      </c>
      <c r="T708" s="10">
        <v>0</v>
      </c>
      <c r="U708" s="7" t="s">
        <v>48</v>
      </c>
      <c r="V708" s="10" t="s">
        <v>64</v>
      </c>
      <c r="W708" s="7" t="s">
        <v>48</v>
      </c>
      <c r="X708" s="10" t="s">
        <v>36</v>
      </c>
      <c r="Y708" s="7" t="s">
        <v>126</v>
      </c>
    </row>
    <row x14ac:dyDescent="0.25" r="709" customHeight="1" ht="18.75">
      <c r="A709" s="11">
        <v>74220873</v>
      </c>
      <c r="B709" s="12">
        <v>1895</v>
      </c>
      <c r="C709" s="13" t="s">
        <v>3397</v>
      </c>
      <c r="D709" s="13" t="s">
        <v>3398</v>
      </c>
      <c r="E709" s="14">
        <v>74320873</v>
      </c>
      <c r="F709" s="14">
        <v>1895</v>
      </c>
      <c r="G709" s="13" t="s">
        <v>27</v>
      </c>
      <c r="H709" s="13" t="s">
        <v>3399</v>
      </c>
      <c r="I709" s="13" t="s">
        <v>3400</v>
      </c>
      <c r="J709" s="14">
        <f>74952408424</f>
      </c>
      <c r="K709" s="14">
        <v>6902</v>
      </c>
      <c r="L709" s="13" t="s">
        <v>1276</v>
      </c>
      <c r="M709" s="14">
        <v>105</v>
      </c>
      <c r="N709" s="13" t="s">
        <v>1277</v>
      </c>
      <c r="O709" s="13" t="s">
        <v>119</v>
      </c>
      <c r="P709" s="13" t="s">
        <v>3401</v>
      </c>
      <c r="Q709" s="14" t="s">
        <v>58</v>
      </c>
      <c r="R709" s="13" t="s">
        <v>33</v>
      </c>
      <c r="S709" s="13" t="s">
        <v>34</v>
      </c>
      <c r="T709" s="15">
        <v>0</v>
      </c>
      <c r="U709" s="13" t="s">
        <v>48</v>
      </c>
      <c r="V709" s="15" t="s">
        <v>214</v>
      </c>
      <c r="W709" s="13" t="s">
        <v>48</v>
      </c>
      <c r="X709" s="15" t="s">
        <v>36</v>
      </c>
      <c r="Y709" s="13" t="s">
        <v>59</v>
      </c>
    </row>
    <row x14ac:dyDescent="0.25" r="710" customHeight="1" ht="18.75">
      <c r="A710" s="5">
        <v>74220889</v>
      </c>
      <c r="B710" s="6">
        <v>1896</v>
      </c>
      <c r="C710" s="7" t="s">
        <v>3402</v>
      </c>
      <c r="D710" s="7" t="s">
        <v>3403</v>
      </c>
      <c r="E710" s="8">
        <v>74320889</v>
      </c>
      <c r="F710" s="8">
        <v>1896</v>
      </c>
      <c r="G710" s="7" t="s">
        <v>27</v>
      </c>
      <c r="H710" s="7" t="s">
        <v>3404</v>
      </c>
      <c r="I710" s="7" t="s">
        <v>3405</v>
      </c>
      <c r="J710" s="8">
        <f>74952408424</f>
      </c>
      <c r="K710" s="8">
        <v>6174</v>
      </c>
      <c r="L710" s="7" t="s">
        <v>1276</v>
      </c>
      <c r="M710" s="8">
        <v>105</v>
      </c>
      <c r="N710" s="7" t="s">
        <v>1277</v>
      </c>
      <c r="O710" s="7" t="s">
        <v>82</v>
      </c>
      <c r="P710" s="7" t="s">
        <v>133</v>
      </c>
      <c r="Q710" s="8" t="s">
        <v>3406</v>
      </c>
      <c r="R710" s="7" t="s">
        <v>33</v>
      </c>
      <c r="S710" s="7" t="s">
        <v>34</v>
      </c>
      <c r="T710" s="10">
        <v>0</v>
      </c>
      <c r="U710" s="7" t="s">
        <v>48</v>
      </c>
      <c r="V710" s="10" t="s">
        <v>214</v>
      </c>
      <c r="W710" s="7" t="s">
        <v>48</v>
      </c>
      <c r="X710" s="10" t="s">
        <v>65</v>
      </c>
      <c r="Y710" s="7" t="s">
        <v>37</v>
      </c>
    </row>
    <row x14ac:dyDescent="0.25" r="711" customHeight="1" ht="18.75">
      <c r="A711" s="11">
        <v>74220890</v>
      </c>
      <c r="B711" s="12">
        <v>1897</v>
      </c>
      <c r="C711" s="13" t="s">
        <v>3407</v>
      </c>
      <c r="D711" s="13" t="s">
        <v>3408</v>
      </c>
      <c r="E711" s="14">
        <v>74320890</v>
      </c>
      <c r="F711" s="14">
        <v>1897</v>
      </c>
      <c r="G711" s="13" t="s">
        <v>27</v>
      </c>
      <c r="H711" s="13" t="s">
        <v>3409</v>
      </c>
      <c r="I711" s="13" t="s">
        <v>3410</v>
      </c>
      <c r="J711" s="14">
        <f>74952408424</f>
      </c>
      <c r="K711" s="14">
        <v>6170</v>
      </c>
      <c r="L711" s="13" t="s">
        <v>1276</v>
      </c>
      <c r="M711" s="14">
        <v>105</v>
      </c>
      <c r="N711" s="13" t="s">
        <v>1277</v>
      </c>
      <c r="O711" s="13" t="s">
        <v>82</v>
      </c>
      <c r="P711" s="13" t="s">
        <v>3411</v>
      </c>
      <c r="Q711" s="14" t="s">
        <v>58</v>
      </c>
      <c r="R711" s="13" t="s">
        <v>33</v>
      </c>
      <c r="S711" s="13" t="s">
        <v>34</v>
      </c>
      <c r="T711" s="15">
        <v>0</v>
      </c>
      <c r="U711" s="13" t="s">
        <v>48</v>
      </c>
      <c r="V711" s="15" t="s">
        <v>214</v>
      </c>
      <c r="W711" s="13" t="s">
        <v>48</v>
      </c>
      <c r="X711" s="15" t="s">
        <v>65</v>
      </c>
      <c r="Y711" s="13" t="s">
        <v>37</v>
      </c>
    </row>
    <row x14ac:dyDescent="0.25" r="712" customHeight="1" ht="18.75">
      <c r="A712" s="5">
        <v>74220891</v>
      </c>
      <c r="B712" s="6">
        <v>1898</v>
      </c>
      <c r="C712" s="7" t="s">
        <v>3412</v>
      </c>
      <c r="D712" s="7" t="s">
        <v>3413</v>
      </c>
      <c r="E712" s="8">
        <v>74320891</v>
      </c>
      <c r="F712" s="8">
        <v>1898</v>
      </c>
      <c r="G712" s="7" t="s">
        <v>27</v>
      </c>
      <c r="H712" s="7" t="s">
        <v>3414</v>
      </c>
      <c r="I712" s="7" t="s">
        <v>3415</v>
      </c>
      <c r="J712" s="8">
        <f>74952408424</f>
      </c>
      <c r="K712" s="8">
        <v>6380</v>
      </c>
      <c r="L712" s="7" t="s">
        <v>1276</v>
      </c>
      <c r="M712" s="8">
        <v>105</v>
      </c>
      <c r="N712" s="7" t="s">
        <v>1277</v>
      </c>
      <c r="O712" s="7" t="s">
        <v>73</v>
      </c>
      <c r="P712" s="7" t="s">
        <v>1532</v>
      </c>
      <c r="Q712" s="8" t="s">
        <v>1533</v>
      </c>
      <c r="R712" s="7" t="s">
        <v>33</v>
      </c>
      <c r="S712" s="7" t="s">
        <v>34</v>
      </c>
      <c r="T712" s="10">
        <v>0</v>
      </c>
      <c r="U712" s="7" t="s">
        <v>48</v>
      </c>
      <c r="V712" s="10" t="s">
        <v>64</v>
      </c>
      <c r="W712" s="7" t="s">
        <v>48</v>
      </c>
      <c r="X712" s="10" t="s">
        <v>65</v>
      </c>
      <c r="Y712" s="7" t="s">
        <v>84</v>
      </c>
    </row>
    <row x14ac:dyDescent="0.25" r="713" customHeight="1" ht="18.75">
      <c r="A713" s="11">
        <v>74220902</v>
      </c>
      <c r="B713" s="12">
        <v>1899</v>
      </c>
      <c r="C713" s="13" t="s">
        <v>3416</v>
      </c>
      <c r="D713" s="13" t="s">
        <v>3417</v>
      </c>
      <c r="E713" s="14">
        <v>74320902</v>
      </c>
      <c r="F713" s="14">
        <v>1899</v>
      </c>
      <c r="G713" s="13" t="s">
        <v>27</v>
      </c>
      <c r="H713" s="13" t="s">
        <v>3418</v>
      </c>
      <c r="I713" s="13" t="s">
        <v>3419</v>
      </c>
      <c r="J713" s="14">
        <f>74952408424</f>
      </c>
      <c r="K713" s="14">
        <v>6032</v>
      </c>
      <c r="L713" s="13" t="s">
        <v>1276</v>
      </c>
      <c r="M713" s="14">
        <v>105</v>
      </c>
      <c r="N713" s="13" t="s">
        <v>1277</v>
      </c>
      <c r="O713" s="13" t="s">
        <v>82</v>
      </c>
      <c r="P713" s="13" t="s">
        <v>3420</v>
      </c>
      <c r="Q713" s="14" t="s">
        <v>58</v>
      </c>
      <c r="R713" s="13" t="s">
        <v>33</v>
      </c>
      <c r="S713" s="13" t="s">
        <v>34</v>
      </c>
      <c r="T713" s="15">
        <v>0</v>
      </c>
      <c r="U713" s="13" t="s">
        <v>48</v>
      </c>
      <c r="V713" s="15" t="s">
        <v>214</v>
      </c>
      <c r="W713" s="13" t="s">
        <v>48</v>
      </c>
      <c r="X713" s="15" t="s">
        <v>65</v>
      </c>
      <c r="Y713" s="13" t="s">
        <v>37</v>
      </c>
    </row>
    <row x14ac:dyDescent="0.25" r="714" customHeight="1" ht="18.75">
      <c r="A714" s="5">
        <v>74220903</v>
      </c>
      <c r="B714" s="6">
        <v>1900</v>
      </c>
      <c r="C714" s="7" t="s">
        <v>3421</v>
      </c>
      <c r="D714" s="7" t="s">
        <v>3422</v>
      </c>
      <c r="E714" s="8">
        <v>74320903</v>
      </c>
      <c r="F714" s="8">
        <v>1900</v>
      </c>
      <c r="G714" s="7" t="s">
        <v>27</v>
      </c>
      <c r="H714" s="7" t="s">
        <v>3423</v>
      </c>
      <c r="I714" s="7" t="s">
        <v>3424</v>
      </c>
      <c r="J714" s="8">
        <f>74952408424</f>
      </c>
      <c r="K714" s="8">
        <v>6710</v>
      </c>
      <c r="L714" s="7" t="s">
        <v>1276</v>
      </c>
      <c r="M714" s="8">
        <v>105</v>
      </c>
      <c r="N714" s="7" t="s">
        <v>1277</v>
      </c>
      <c r="O714" s="7" t="s">
        <v>73</v>
      </c>
      <c r="P714" s="7" t="s">
        <v>3161</v>
      </c>
      <c r="Q714" s="8" t="s">
        <v>182</v>
      </c>
      <c r="R714" s="7" t="s">
        <v>33</v>
      </c>
      <c r="S714" s="7" t="s">
        <v>34</v>
      </c>
      <c r="T714" s="10">
        <v>0</v>
      </c>
      <c r="U714" s="7" t="s">
        <v>48</v>
      </c>
      <c r="V714" s="10" t="s">
        <v>214</v>
      </c>
      <c r="W714" s="7" t="s">
        <v>48</v>
      </c>
      <c r="X714" s="10" t="s">
        <v>36</v>
      </c>
      <c r="Y714" s="7" t="s">
        <v>37</v>
      </c>
    </row>
    <row x14ac:dyDescent="0.25" r="715" customHeight="1" ht="18.75">
      <c r="A715" s="11">
        <v>74220905</v>
      </c>
      <c r="B715" s="12">
        <v>1901</v>
      </c>
      <c r="C715" s="13" t="s">
        <v>3425</v>
      </c>
      <c r="D715" s="13" t="s">
        <v>3426</v>
      </c>
      <c r="E715" s="14">
        <v>74320905</v>
      </c>
      <c r="F715" s="14">
        <v>1901</v>
      </c>
      <c r="G715" s="13" t="s">
        <v>27</v>
      </c>
      <c r="H715" s="13" t="s">
        <v>3427</v>
      </c>
      <c r="I715" s="13" t="s">
        <v>3428</v>
      </c>
      <c r="J715" s="14">
        <f>74952408424</f>
      </c>
      <c r="K715" s="14">
        <v>6168</v>
      </c>
      <c r="L715" s="13" t="s">
        <v>1276</v>
      </c>
      <c r="M715" s="14">
        <v>105</v>
      </c>
      <c r="N715" s="13" t="s">
        <v>1277</v>
      </c>
      <c r="O715" s="13" t="s">
        <v>82</v>
      </c>
      <c r="P715" s="13" t="s">
        <v>3429</v>
      </c>
      <c r="Q715" s="14" t="s">
        <v>58</v>
      </c>
      <c r="R715" s="13" t="s">
        <v>33</v>
      </c>
      <c r="S715" s="13" t="s">
        <v>34</v>
      </c>
      <c r="T715" s="15">
        <v>0</v>
      </c>
      <c r="U715" s="13" t="s">
        <v>48</v>
      </c>
      <c r="V715" s="15" t="s">
        <v>214</v>
      </c>
      <c r="W715" s="13" t="s">
        <v>48</v>
      </c>
      <c r="X715" s="15" t="s">
        <v>65</v>
      </c>
      <c r="Y715" s="13" t="s">
        <v>37</v>
      </c>
    </row>
    <row x14ac:dyDescent="0.25" r="716" customHeight="1" ht="18.75">
      <c r="A716" s="5">
        <v>74220907</v>
      </c>
      <c r="B716" s="6">
        <v>1902</v>
      </c>
      <c r="C716" s="7" t="s">
        <v>3430</v>
      </c>
      <c r="D716" s="7" t="s">
        <v>3431</v>
      </c>
      <c r="E716" s="8">
        <v>74320907</v>
      </c>
      <c r="F716" s="8">
        <v>1902</v>
      </c>
      <c r="G716" s="7" t="s">
        <v>27</v>
      </c>
      <c r="H716" s="7" t="s">
        <v>3432</v>
      </c>
      <c r="I716" s="7" t="s">
        <v>3433</v>
      </c>
      <c r="J716" s="8">
        <f>74952408424</f>
      </c>
      <c r="K716" s="8">
        <v>6164</v>
      </c>
      <c r="L716" s="7" t="s">
        <v>1276</v>
      </c>
      <c r="M716" s="8">
        <v>105</v>
      </c>
      <c r="N716" s="7" t="s">
        <v>1277</v>
      </c>
      <c r="O716" s="7" t="s">
        <v>32</v>
      </c>
      <c r="P716" s="7" t="s">
        <v>32</v>
      </c>
      <c r="Q716" s="8" t="s">
        <v>58</v>
      </c>
      <c r="R716" s="7" t="s">
        <v>33</v>
      </c>
      <c r="S716" s="7" t="s">
        <v>34</v>
      </c>
      <c r="T716" s="10">
        <v>0</v>
      </c>
      <c r="U716" s="7" t="s">
        <v>48</v>
      </c>
      <c r="V716" s="10" t="s">
        <v>214</v>
      </c>
      <c r="W716" s="7" t="s">
        <v>48</v>
      </c>
      <c r="X716" s="10" t="s">
        <v>36</v>
      </c>
      <c r="Y716" s="7" t="s">
        <v>59</v>
      </c>
    </row>
    <row x14ac:dyDescent="0.25" r="717" customHeight="1" ht="18.75">
      <c r="A717" s="11">
        <v>74220910</v>
      </c>
      <c r="B717" s="12">
        <v>1903</v>
      </c>
      <c r="C717" s="13" t="s">
        <v>3434</v>
      </c>
      <c r="D717" s="13" t="s">
        <v>3435</v>
      </c>
      <c r="E717" s="14">
        <v>74320910</v>
      </c>
      <c r="F717" s="14">
        <v>1903</v>
      </c>
      <c r="G717" s="13" t="s">
        <v>27</v>
      </c>
      <c r="H717" s="13" t="s">
        <v>3436</v>
      </c>
      <c r="I717" s="13" t="s">
        <v>3437</v>
      </c>
      <c r="J717" s="14">
        <f>74952408424</f>
      </c>
      <c r="K717" s="14">
        <v>6322</v>
      </c>
      <c r="L717" s="13" t="s">
        <v>1276</v>
      </c>
      <c r="M717" s="14">
        <v>105</v>
      </c>
      <c r="N717" s="13" t="s">
        <v>1277</v>
      </c>
      <c r="O717" s="13" t="s">
        <v>73</v>
      </c>
      <c r="P717" s="13" t="s">
        <v>1872</v>
      </c>
      <c r="Q717" s="14" t="s">
        <v>1742</v>
      </c>
      <c r="R717" s="13" t="s">
        <v>33</v>
      </c>
      <c r="S717" s="13" t="s">
        <v>34</v>
      </c>
      <c r="T717" s="15">
        <v>0</v>
      </c>
      <c r="U717" s="13" t="s">
        <v>48</v>
      </c>
      <c r="V717" s="15" t="s">
        <v>214</v>
      </c>
      <c r="W717" s="13" t="s">
        <v>48</v>
      </c>
      <c r="X717" s="15" t="s">
        <v>36</v>
      </c>
      <c r="Y717" s="13" t="s">
        <v>37</v>
      </c>
    </row>
    <row x14ac:dyDescent="0.25" r="718" customHeight="1" ht="18.75">
      <c r="A718" s="5">
        <v>74220911</v>
      </c>
      <c r="B718" s="6">
        <v>1904</v>
      </c>
      <c r="C718" s="7" t="s">
        <v>3438</v>
      </c>
      <c r="D718" s="7" t="s">
        <v>3439</v>
      </c>
      <c r="E718" s="8">
        <v>74320911</v>
      </c>
      <c r="F718" s="8">
        <v>1904</v>
      </c>
      <c r="G718" s="7" t="s">
        <v>27</v>
      </c>
      <c r="H718" s="7" t="s">
        <v>3440</v>
      </c>
      <c r="I718" s="7" t="s">
        <v>3441</v>
      </c>
      <c r="J718" s="8">
        <f>74952408424</f>
      </c>
      <c r="K718" s="8">
        <v>6172</v>
      </c>
      <c r="L718" s="7" t="s">
        <v>1276</v>
      </c>
      <c r="M718" s="8">
        <v>105</v>
      </c>
      <c r="N718" s="7" t="s">
        <v>1277</v>
      </c>
      <c r="O718" s="7" t="s">
        <v>82</v>
      </c>
      <c r="P718" s="7" t="s">
        <v>3273</v>
      </c>
      <c r="Q718" s="8" t="s">
        <v>58</v>
      </c>
      <c r="R718" s="7" t="s">
        <v>33</v>
      </c>
      <c r="S718" s="7" t="s">
        <v>34</v>
      </c>
      <c r="T718" s="10">
        <v>0</v>
      </c>
      <c r="U718" s="7" t="s">
        <v>48</v>
      </c>
      <c r="V718" s="10" t="s">
        <v>214</v>
      </c>
      <c r="W718" s="7" t="s">
        <v>48</v>
      </c>
      <c r="X718" s="10" t="s">
        <v>65</v>
      </c>
      <c r="Y718" s="7" t="s">
        <v>37</v>
      </c>
    </row>
    <row x14ac:dyDescent="0.25" r="719" customHeight="1" ht="18.75">
      <c r="A719" s="11">
        <v>74220912</v>
      </c>
      <c r="B719" s="12">
        <v>1905</v>
      </c>
      <c r="C719" s="13" t="s">
        <v>3442</v>
      </c>
      <c r="D719" s="13" t="s">
        <v>3443</v>
      </c>
      <c r="E719" s="14">
        <v>74320912</v>
      </c>
      <c r="F719" s="14">
        <v>1905</v>
      </c>
      <c r="G719" s="13" t="s">
        <v>27</v>
      </c>
      <c r="H719" s="13" t="s">
        <v>3444</v>
      </c>
      <c r="I719" s="13" t="s">
        <v>3445</v>
      </c>
      <c r="J719" s="14">
        <f>74952408424</f>
      </c>
      <c r="K719" s="14">
        <v>6162</v>
      </c>
      <c r="L719" s="13" t="s">
        <v>1276</v>
      </c>
      <c r="M719" s="14">
        <v>105</v>
      </c>
      <c r="N719" s="13" t="s">
        <v>1277</v>
      </c>
      <c r="O719" s="13" t="s">
        <v>82</v>
      </c>
      <c r="P719" s="13" t="s">
        <v>3278</v>
      </c>
      <c r="Q719" s="14" t="s">
        <v>58</v>
      </c>
      <c r="R719" s="13" t="s">
        <v>33</v>
      </c>
      <c r="S719" s="13" t="s">
        <v>34</v>
      </c>
      <c r="T719" s="15">
        <v>0</v>
      </c>
      <c r="U719" s="13" t="s">
        <v>48</v>
      </c>
      <c r="V719" s="15" t="s">
        <v>214</v>
      </c>
      <c r="W719" s="13" t="s">
        <v>48</v>
      </c>
      <c r="X719" s="15" t="s">
        <v>65</v>
      </c>
      <c r="Y719" s="13" t="s">
        <v>59</v>
      </c>
    </row>
    <row x14ac:dyDescent="0.25" r="720" customHeight="1" ht="18.75">
      <c r="A720" s="5">
        <v>74220922</v>
      </c>
      <c r="B720" s="6">
        <v>1906</v>
      </c>
      <c r="C720" s="7" t="s">
        <v>3446</v>
      </c>
      <c r="D720" s="7" t="s">
        <v>3447</v>
      </c>
      <c r="E720" s="8">
        <v>74320922</v>
      </c>
      <c r="F720" s="8">
        <v>1906</v>
      </c>
      <c r="G720" s="7" t="s">
        <v>27</v>
      </c>
      <c r="H720" s="7" t="s">
        <v>3448</v>
      </c>
      <c r="I720" s="7" t="s">
        <v>3449</v>
      </c>
      <c r="J720" s="8">
        <f>74952408424</f>
      </c>
      <c r="K720" s="8">
        <v>6180</v>
      </c>
      <c r="L720" s="7" t="s">
        <v>1276</v>
      </c>
      <c r="M720" s="8">
        <v>105</v>
      </c>
      <c r="N720" s="7" t="s">
        <v>1277</v>
      </c>
      <c r="O720" s="7" t="s">
        <v>32</v>
      </c>
      <c r="P720" s="7" t="s">
        <v>32</v>
      </c>
      <c r="Q720" s="8" t="s">
        <v>58</v>
      </c>
      <c r="R720" s="7" t="s">
        <v>33</v>
      </c>
      <c r="S720" s="7" t="s">
        <v>34</v>
      </c>
      <c r="T720" s="10">
        <v>0</v>
      </c>
      <c r="U720" s="7"/>
      <c r="V720" s="10">
        <v>0</v>
      </c>
      <c r="W720" s="7" t="s">
        <v>48</v>
      </c>
      <c r="X720" s="10" t="s">
        <v>36</v>
      </c>
      <c r="Y720" s="7" t="s">
        <v>37</v>
      </c>
    </row>
    <row x14ac:dyDescent="0.25" r="721" customHeight="1" ht="18.75">
      <c r="A721" s="11">
        <v>74220924</v>
      </c>
      <c r="B721" s="12">
        <v>1907</v>
      </c>
      <c r="C721" s="13" t="s">
        <v>3450</v>
      </c>
      <c r="D721" s="13" t="s">
        <v>3451</v>
      </c>
      <c r="E721" s="14">
        <v>74320924</v>
      </c>
      <c r="F721" s="14">
        <v>1907</v>
      </c>
      <c r="G721" s="13" t="s">
        <v>27</v>
      </c>
      <c r="H721" s="13" t="s">
        <v>3452</v>
      </c>
      <c r="I721" s="13" t="s">
        <v>3453</v>
      </c>
      <c r="J721" s="14">
        <f>74952408424</f>
      </c>
      <c r="K721" s="14">
        <v>6382</v>
      </c>
      <c r="L721" s="13" t="s">
        <v>1276</v>
      </c>
      <c r="M721" s="14">
        <v>105</v>
      </c>
      <c r="N721" s="13" t="s">
        <v>1277</v>
      </c>
      <c r="O721" s="13" t="s">
        <v>73</v>
      </c>
      <c r="P721" s="13" t="s">
        <v>1532</v>
      </c>
      <c r="Q721" s="14" t="s">
        <v>1533</v>
      </c>
      <c r="R721" s="13" t="s">
        <v>33</v>
      </c>
      <c r="S721" s="13" t="s">
        <v>34</v>
      </c>
      <c r="T721" s="15">
        <v>0</v>
      </c>
      <c r="U721" s="13" t="s">
        <v>48</v>
      </c>
      <c r="V721" s="15" t="s">
        <v>64</v>
      </c>
      <c r="W721" s="13" t="s">
        <v>48</v>
      </c>
      <c r="X721" s="15" t="s">
        <v>65</v>
      </c>
      <c r="Y721" s="13" t="s">
        <v>37</v>
      </c>
    </row>
    <row x14ac:dyDescent="0.25" r="722" customHeight="1" ht="18.75">
      <c r="A722" s="5">
        <v>74220929</v>
      </c>
      <c r="B722" s="6">
        <v>1908</v>
      </c>
      <c r="C722" s="7" t="s">
        <v>3454</v>
      </c>
      <c r="D722" s="7" t="s">
        <v>3455</v>
      </c>
      <c r="E722" s="8">
        <v>74320929</v>
      </c>
      <c r="F722" s="8">
        <v>1908</v>
      </c>
      <c r="G722" s="7" t="s">
        <v>27</v>
      </c>
      <c r="H722" s="7" t="s">
        <v>3456</v>
      </c>
      <c r="I722" s="7" t="s">
        <v>3457</v>
      </c>
      <c r="J722" s="8">
        <f>74952408424</f>
      </c>
      <c r="K722" s="8">
        <v>6192</v>
      </c>
      <c r="L722" s="7" t="s">
        <v>1276</v>
      </c>
      <c r="M722" s="8">
        <v>105</v>
      </c>
      <c r="N722" s="7" t="s">
        <v>1277</v>
      </c>
      <c r="O722" s="7" t="s">
        <v>82</v>
      </c>
      <c r="P722" s="7" t="s">
        <v>268</v>
      </c>
      <c r="Q722" s="8" t="s">
        <v>58</v>
      </c>
      <c r="R722" s="7" t="s">
        <v>33</v>
      </c>
      <c r="S722" s="7" t="s">
        <v>34</v>
      </c>
      <c r="T722" s="10">
        <v>0</v>
      </c>
      <c r="U722" s="7"/>
      <c r="V722" s="10">
        <v>0</v>
      </c>
      <c r="W722" s="7" t="s">
        <v>48</v>
      </c>
      <c r="X722" s="10" t="s">
        <v>36</v>
      </c>
      <c r="Y722" s="7" t="s">
        <v>37</v>
      </c>
    </row>
    <row x14ac:dyDescent="0.25" r="723" customHeight="1" ht="18.75">
      <c r="A723" s="11">
        <v>74220930</v>
      </c>
      <c r="B723" s="12">
        <v>1909</v>
      </c>
      <c r="C723" s="13" t="s">
        <v>3458</v>
      </c>
      <c r="D723" s="13" t="s">
        <v>3459</v>
      </c>
      <c r="E723" s="14">
        <v>74320930</v>
      </c>
      <c r="F723" s="14">
        <v>1909</v>
      </c>
      <c r="G723" s="13" t="s">
        <v>27</v>
      </c>
      <c r="H723" s="13" t="s">
        <v>3460</v>
      </c>
      <c r="I723" s="13" t="s">
        <v>3461</v>
      </c>
      <c r="J723" s="14">
        <f>74952408424</f>
      </c>
      <c r="K723" s="14">
        <v>6182</v>
      </c>
      <c r="L723" s="13" t="s">
        <v>1276</v>
      </c>
      <c r="M723" s="14">
        <v>105</v>
      </c>
      <c r="N723" s="13" t="s">
        <v>1277</v>
      </c>
      <c r="O723" s="13" t="s">
        <v>82</v>
      </c>
      <c r="P723" s="13" t="s">
        <v>268</v>
      </c>
      <c r="Q723" s="14" t="s">
        <v>58</v>
      </c>
      <c r="R723" s="13" t="s">
        <v>33</v>
      </c>
      <c r="S723" s="13" t="s">
        <v>34</v>
      </c>
      <c r="T723" s="15">
        <v>0</v>
      </c>
      <c r="U723" s="13" t="s">
        <v>48</v>
      </c>
      <c r="V723" s="15" t="s">
        <v>214</v>
      </c>
      <c r="W723" s="13" t="s">
        <v>48</v>
      </c>
      <c r="X723" s="15" t="s">
        <v>36</v>
      </c>
      <c r="Y723" s="13" t="s">
        <v>37</v>
      </c>
    </row>
    <row x14ac:dyDescent="0.25" r="724" customHeight="1" ht="18.75">
      <c r="A724" s="5">
        <v>74220933</v>
      </c>
      <c r="B724" s="6">
        <v>1910</v>
      </c>
      <c r="C724" s="7" t="s">
        <v>3462</v>
      </c>
      <c r="D724" s="7" t="s">
        <v>3463</v>
      </c>
      <c r="E724" s="8">
        <v>74320933</v>
      </c>
      <c r="F724" s="8">
        <v>1910</v>
      </c>
      <c r="G724" s="7" t="s">
        <v>27</v>
      </c>
      <c r="H724" s="7" t="s">
        <v>3464</v>
      </c>
      <c r="I724" s="7" t="s">
        <v>3465</v>
      </c>
      <c r="J724" s="8">
        <f>74952408424</f>
      </c>
      <c r="K724" s="8">
        <v>6184</v>
      </c>
      <c r="L724" s="7" t="s">
        <v>1276</v>
      </c>
      <c r="M724" s="8">
        <v>105</v>
      </c>
      <c r="N724" s="7" t="s">
        <v>1277</v>
      </c>
      <c r="O724" s="7" t="s">
        <v>82</v>
      </c>
      <c r="P724" s="7" t="s">
        <v>268</v>
      </c>
      <c r="Q724" s="8" t="s">
        <v>58</v>
      </c>
      <c r="R724" s="7" t="s">
        <v>33</v>
      </c>
      <c r="S724" s="7" t="s">
        <v>34</v>
      </c>
      <c r="T724" s="10">
        <v>0</v>
      </c>
      <c r="U724" s="7" t="s">
        <v>48</v>
      </c>
      <c r="V724" s="10" t="s">
        <v>214</v>
      </c>
      <c r="W724" s="7" t="s">
        <v>48</v>
      </c>
      <c r="X724" s="10" t="s">
        <v>36</v>
      </c>
      <c r="Y724" s="7" t="s">
        <v>59</v>
      </c>
    </row>
    <row x14ac:dyDescent="0.25" r="725" customHeight="1" ht="18.75">
      <c r="A725" s="11">
        <v>74220935</v>
      </c>
      <c r="B725" s="12">
        <v>1911</v>
      </c>
      <c r="C725" s="13" t="s">
        <v>3466</v>
      </c>
      <c r="D725" s="13" t="s">
        <v>3467</v>
      </c>
      <c r="E725" s="14">
        <v>74320935</v>
      </c>
      <c r="F725" s="14">
        <v>1911</v>
      </c>
      <c r="G725" s="13" t="s">
        <v>27</v>
      </c>
      <c r="H725" s="13" t="s">
        <v>3468</v>
      </c>
      <c r="I725" s="13" t="s">
        <v>3469</v>
      </c>
      <c r="J725" s="14">
        <f>74952408424</f>
      </c>
      <c r="K725" s="14">
        <v>6268</v>
      </c>
      <c r="L725" s="13" t="s">
        <v>1276</v>
      </c>
      <c r="M725" s="14">
        <v>105</v>
      </c>
      <c r="N725" s="13" t="s">
        <v>1277</v>
      </c>
      <c r="O725" s="13" t="s">
        <v>96</v>
      </c>
      <c r="P725" s="13" t="s">
        <v>1799</v>
      </c>
      <c r="Q725" s="14" t="s">
        <v>3470</v>
      </c>
      <c r="R725" s="13" t="s">
        <v>33</v>
      </c>
      <c r="S725" s="13" t="s">
        <v>34</v>
      </c>
      <c r="T725" s="15">
        <v>0</v>
      </c>
      <c r="U725" s="13" t="s">
        <v>48</v>
      </c>
      <c r="V725" s="15" t="s">
        <v>64</v>
      </c>
      <c r="W725" s="13" t="s">
        <v>48</v>
      </c>
      <c r="X725" s="15" t="s">
        <v>36</v>
      </c>
      <c r="Y725" s="13" t="s">
        <v>37</v>
      </c>
    </row>
    <row x14ac:dyDescent="0.25" r="726" customHeight="1" ht="18.75">
      <c r="A726" s="5">
        <v>74220936</v>
      </c>
      <c r="B726" s="6">
        <v>1912</v>
      </c>
      <c r="C726" s="7" t="s">
        <v>3471</v>
      </c>
      <c r="D726" s="7" t="s">
        <v>3472</v>
      </c>
      <c r="E726" s="8">
        <v>74320936</v>
      </c>
      <c r="F726" s="8">
        <v>1912</v>
      </c>
      <c r="G726" s="7" t="s">
        <v>27</v>
      </c>
      <c r="H726" s="7" t="s">
        <v>3473</v>
      </c>
      <c r="I726" s="7" t="s">
        <v>3474</v>
      </c>
      <c r="J726" s="8">
        <f>74952408424</f>
      </c>
      <c r="K726" s="8">
        <v>6928</v>
      </c>
      <c r="L726" s="7" t="s">
        <v>1276</v>
      </c>
      <c r="M726" s="8">
        <v>105</v>
      </c>
      <c r="N726" s="7" t="s">
        <v>1277</v>
      </c>
      <c r="O726" s="7" t="s">
        <v>119</v>
      </c>
      <c r="P726" s="7" t="s">
        <v>3301</v>
      </c>
      <c r="Q726" s="8" t="s">
        <v>3475</v>
      </c>
      <c r="R726" s="7" t="s">
        <v>33</v>
      </c>
      <c r="S726" s="7" t="s">
        <v>34</v>
      </c>
      <c r="T726" s="10">
        <v>0</v>
      </c>
      <c r="U726" s="7" t="s">
        <v>48</v>
      </c>
      <c r="V726" s="10" t="s">
        <v>64</v>
      </c>
      <c r="W726" s="7" t="s">
        <v>48</v>
      </c>
      <c r="X726" s="10" t="s">
        <v>36</v>
      </c>
      <c r="Y726" s="7" t="s">
        <v>126</v>
      </c>
    </row>
    <row x14ac:dyDescent="0.25" r="727" customHeight="1" ht="18.75">
      <c r="A727" s="11">
        <v>74220954</v>
      </c>
      <c r="B727" s="12">
        <v>1913</v>
      </c>
      <c r="C727" s="13" t="s">
        <v>3476</v>
      </c>
      <c r="D727" s="13" t="s">
        <v>3477</v>
      </c>
      <c r="E727" s="14">
        <v>74320954</v>
      </c>
      <c r="F727" s="14">
        <v>1913</v>
      </c>
      <c r="G727" s="13" t="s">
        <v>27</v>
      </c>
      <c r="H727" s="13" t="s">
        <v>3478</v>
      </c>
      <c r="I727" s="13" t="s">
        <v>3479</v>
      </c>
      <c r="J727" s="14">
        <f>74952408424</f>
      </c>
      <c r="K727" s="14">
        <v>6270</v>
      </c>
      <c r="L727" s="13" t="s">
        <v>1276</v>
      </c>
      <c r="M727" s="14">
        <v>105</v>
      </c>
      <c r="N727" s="13" t="s">
        <v>1277</v>
      </c>
      <c r="O727" s="13" t="s">
        <v>96</v>
      </c>
      <c r="P727" s="13" t="s">
        <v>1799</v>
      </c>
      <c r="Q727" s="14" t="s">
        <v>3480</v>
      </c>
      <c r="R727" s="13" t="s">
        <v>33</v>
      </c>
      <c r="S727" s="13" t="s">
        <v>34</v>
      </c>
      <c r="T727" s="15">
        <v>0</v>
      </c>
      <c r="U727" s="13"/>
      <c r="V727" s="15">
        <v>0</v>
      </c>
      <c r="W727" s="13" t="s">
        <v>48</v>
      </c>
      <c r="X727" s="15" t="s">
        <v>36</v>
      </c>
      <c r="Y727" s="13" t="s">
        <v>37</v>
      </c>
    </row>
    <row x14ac:dyDescent="0.25" r="728" customHeight="1" ht="18.75">
      <c r="A728" s="5">
        <v>74220969</v>
      </c>
      <c r="B728" s="6">
        <v>1914</v>
      </c>
      <c r="C728" s="7" t="s">
        <v>3481</v>
      </c>
      <c r="D728" s="7" t="s">
        <v>3482</v>
      </c>
      <c r="E728" s="8">
        <v>74320969</v>
      </c>
      <c r="F728" s="8">
        <v>1914</v>
      </c>
      <c r="G728" s="7" t="s">
        <v>27</v>
      </c>
      <c r="H728" s="7" t="s">
        <v>3483</v>
      </c>
      <c r="I728" s="7" t="s">
        <v>3484</v>
      </c>
      <c r="J728" s="8">
        <f>74952408424</f>
      </c>
      <c r="K728" s="8">
        <v>6070</v>
      </c>
      <c r="L728" s="7" t="s">
        <v>1276</v>
      </c>
      <c r="M728" s="8">
        <v>105</v>
      </c>
      <c r="N728" s="7" t="s">
        <v>1277</v>
      </c>
      <c r="O728" s="7" t="s">
        <v>82</v>
      </c>
      <c r="P728" s="7" t="s">
        <v>2897</v>
      </c>
      <c r="Q728" s="8" t="s">
        <v>58</v>
      </c>
      <c r="R728" s="7" t="s">
        <v>33</v>
      </c>
      <c r="S728" s="7" t="s">
        <v>34</v>
      </c>
      <c r="T728" s="10">
        <v>0</v>
      </c>
      <c r="U728" s="7"/>
      <c r="V728" s="10">
        <v>0</v>
      </c>
      <c r="W728" s="7" t="s">
        <v>48</v>
      </c>
      <c r="X728" s="10" t="s">
        <v>65</v>
      </c>
      <c r="Y728" s="7" t="s">
        <v>37</v>
      </c>
    </row>
    <row x14ac:dyDescent="0.25" r="729" customHeight="1" ht="18.75">
      <c r="A729" s="11">
        <v>74220970</v>
      </c>
      <c r="B729" s="12">
        <v>1915</v>
      </c>
      <c r="C729" s="13" t="s">
        <v>3485</v>
      </c>
      <c r="D729" s="13" t="s">
        <v>3486</v>
      </c>
      <c r="E729" s="14">
        <v>74320970</v>
      </c>
      <c r="F729" s="14">
        <v>1915</v>
      </c>
      <c r="G729" s="13" t="s">
        <v>27</v>
      </c>
      <c r="H729" s="13" t="s">
        <v>3487</v>
      </c>
      <c r="I729" s="13" t="s">
        <v>3488</v>
      </c>
      <c r="J729" s="14">
        <f>74952408424</f>
      </c>
      <c r="K729" s="14">
        <v>6080</v>
      </c>
      <c r="L729" s="13" t="s">
        <v>1276</v>
      </c>
      <c r="M729" s="14">
        <v>105</v>
      </c>
      <c r="N729" s="13" t="s">
        <v>1277</v>
      </c>
      <c r="O729" s="13" t="s">
        <v>82</v>
      </c>
      <c r="P729" s="13" t="s">
        <v>2100</v>
      </c>
      <c r="Q729" s="14" t="s">
        <v>3489</v>
      </c>
      <c r="R729" s="13" t="s">
        <v>33</v>
      </c>
      <c r="S729" s="13" t="s">
        <v>34</v>
      </c>
      <c r="T729" s="15">
        <v>0</v>
      </c>
      <c r="U729" s="13" t="s">
        <v>48</v>
      </c>
      <c r="V729" s="15" t="s">
        <v>64</v>
      </c>
      <c r="W729" s="13" t="s">
        <v>48</v>
      </c>
      <c r="X729" s="15" t="s">
        <v>65</v>
      </c>
      <c r="Y729" s="13" t="s">
        <v>37</v>
      </c>
    </row>
    <row x14ac:dyDescent="0.25" r="730" customHeight="1" ht="18.75">
      <c r="A730" s="5">
        <v>74220971</v>
      </c>
      <c r="B730" s="6">
        <v>1916</v>
      </c>
      <c r="C730" s="7" t="s">
        <v>3490</v>
      </c>
      <c r="D730" s="7" t="s">
        <v>3491</v>
      </c>
      <c r="E730" s="8">
        <v>74320971</v>
      </c>
      <c r="F730" s="8">
        <v>1916</v>
      </c>
      <c r="G730" s="7" t="s">
        <v>27</v>
      </c>
      <c r="H730" s="7" t="s">
        <v>3492</v>
      </c>
      <c r="I730" s="7" t="s">
        <v>3493</v>
      </c>
      <c r="J730" s="8">
        <f>74952408424</f>
      </c>
      <c r="K730" s="8">
        <v>6912</v>
      </c>
      <c r="L730" s="7" t="s">
        <v>1276</v>
      </c>
      <c r="M730" s="8">
        <v>105</v>
      </c>
      <c r="N730" s="7" t="s">
        <v>1277</v>
      </c>
      <c r="O730" s="7" t="s">
        <v>119</v>
      </c>
      <c r="P730" s="7" t="s">
        <v>1081</v>
      </c>
      <c r="Q730" s="8" t="s">
        <v>1039</v>
      </c>
      <c r="R730" s="7" t="s">
        <v>33</v>
      </c>
      <c r="S730" s="7" t="s">
        <v>34</v>
      </c>
      <c r="T730" s="10">
        <v>0</v>
      </c>
      <c r="U730" s="7" t="s">
        <v>48</v>
      </c>
      <c r="V730" s="10" t="s">
        <v>64</v>
      </c>
      <c r="W730" s="7" t="s">
        <v>48</v>
      </c>
      <c r="X730" s="10" t="s">
        <v>36</v>
      </c>
      <c r="Y730" s="7" t="s">
        <v>59</v>
      </c>
    </row>
    <row x14ac:dyDescent="0.25" r="731" customHeight="1" ht="18.75">
      <c r="A731" s="11">
        <v>74220975</v>
      </c>
      <c r="B731" s="12">
        <v>1917</v>
      </c>
      <c r="C731" s="13" t="s">
        <v>3494</v>
      </c>
      <c r="D731" s="13" t="s">
        <v>3495</v>
      </c>
      <c r="E731" s="14">
        <v>74320975</v>
      </c>
      <c r="F731" s="14">
        <v>1917</v>
      </c>
      <c r="G731" s="13" t="s">
        <v>27</v>
      </c>
      <c r="H731" s="13" t="s">
        <v>3496</v>
      </c>
      <c r="I731" s="13" t="s">
        <v>3497</v>
      </c>
      <c r="J731" s="14">
        <f>74952408424</f>
      </c>
      <c r="K731" s="14">
        <v>6272</v>
      </c>
      <c r="L731" s="13" t="s">
        <v>1276</v>
      </c>
      <c r="M731" s="14">
        <v>105</v>
      </c>
      <c r="N731" s="13" t="s">
        <v>1277</v>
      </c>
      <c r="O731" s="13" t="s">
        <v>96</v>
      </c>
      <c r="P731" s="13" t="s">
        <v>1799</v>
      </c>
      <c r="Q731" s="14" t="s">
        <v>182</v>
      </c>
      <c r="R731" s="13" t="s">
        <v>33</v>
      </c>
      <c r="S731" s="13" t="s">
        <v>34</v>
      </c>
      <c r="T731" s="15">
        <v>0</v>
      </c>
      <c r="U731" s="13"/>
      <c r="V731" s="15">
        <v>0</v>
      </c>
      <c r="W731" s="13" t="s">
        <v>48</v>
      </c>
      <c r="X731" s="15" t="s">
        <v>36</v>
      </c>
      <c r="Y731" s="13" t="s">
        <v>59</v>
      </c>
    </row>
    <row x14ac:dyDescent="0.25" r="732" customHeight="1" ht="18.75">
      <c r="A732" s="5">
        <v>74220992</v>
      </c>
      <c r="B732" s="6">
        <v>1918</v>
      </c>
      <c r="C732" s="7" t="s">
        <v>3498</v>
      </c>
      <c r="D732" s="7" t="s">
        <v>3499</v>
      </c>
      <c r="E732" s="8">
        <v>74320992</v>
      </c>
      <c r="F732" s="8">
        <v>1918</v>
      </c>
      <c r="G732" s="7" t="s">
        <v>27</v>
      </c>
      <c r="H732" s="7" t="s">
        <v>3500</v>
      </c>
      <c r="I732" s="7" t="s">
        <v>3501</v>
      </c>
      <c r="J732" s="8">
        <f>74952408424</f>
      </c>
      <c r="K732" s="8">
        <v>6092</v>
      </c>
      <c r="L732" s="7" t="s">
        <v>1276</v>
      </c>
      <c r="M732" s="8">
        <v>105</v>
      </c>
      <c r="N732" s="7" t="s">
        <v>1277</v>
      </c>
      <c r="O732" s="7" t="s">
        <v>82</v>
      </c>
      <c r="P732" s="7" t="s">
        <v>3502</v>
      </c>
      <c r="Q732" s="8" t="s">
        <v>58</v>
      </c>
      <c r="R732" s="7" t="s">
        <v>33</v>
      </c>
      <c r="S732" s="7" t="s">
        <v>34</v>
      </c>
      <c r="T732" s="10">
        <v>0</v>
      </c>
      <c r="U732" s="7" t="s">
        <v>48</v>
      </c>
      <c r="V732" s="10" t="s">
        <v>64</v>
      </c>
      <c r="W732" s="7" t="s">
        <v>48</v>
      </c>
      <c r="X732" s="10" t="s">
        <v>65</v>
      </c>
      <c r="Y732" s="7" t="s">
        <v>37</v>
      </c>
    </row>
    <row x14ac:dyDescent="0.25" r="733" customHeight="1" ht="18.75">
      <c r="A733" s="11">
        <v>74221002</v>
      </c>
      <c r="B733" s="12">
        <v>1919</v>
      </c>
      <c r="C733" s="13" t="s">
        <v>3503</v>
      </c>
      <c r="D733" s="13" t="s">
        <v>3504</v>
      </c>
      <c r="E733" s="14">
        <v>74321002</v>
      </c>
      <c r="F733" s="14">
        <v>1919</v>
      </c>
      <c r="G733" s="13" t="s">
        <v>27</v>
      </c>
      <c r="H733" s="13" t="s">
        <v>3505</v>
      </c>
      <c r="I733" s="13" t="s">
        <v>3506</v>
      </c>
      <c r="J733" s="14">
        <f>74952408424</f>
      </c>
      <c r="K733" s="14">
        <v>6528</v>
      </c>
      <c r="L733" s="13" t="s">
        <v>1276</v>
      </c>
      <c r="M733" s="14">
        <v>105</v>
      </c>
      <c r="N733" s="13" t="s">
        <v>1277</v>
      </c>
      <c r="O733" s="13" t="s">
        <v>44</v>
      </c>
      <c r="P733" s="13" t="s">
        <v>2876</v>
      </c>
      <c r="Q733" s="14" t="s">
        <v>58</v>
      </c>
      <c r="R733" s="13" t="s">
        <v>33</v>
      </c>
      <c r="S733" s="13" t="s">
        <v>34</v>
      </c>
      <c r="T733" s="15">
        <v>0</v>
      </c>
      <c r="U733" s="13"/>
      <c r="V733" s="15">
        <v>0</v>
      </c>
      <c r="W733" s="13" t="s">
        <v>48</v>
      </c>
      <c r="X733" s="15" t="s">
        <v>65</v>
      </c>
      <c r="Y733" s="13" t="s">
        <v>59</v>
      </c>
    </row>
    <row x14ac:dyDescent="0.25" r="734" customHeight="1" ht="18.75">
      <c r="A734" s="5">
        <v>74221007</v>
      </c>
      <c r="B734" s="6">
        <v>1920</v>
      </c>
      <c r="C734" s="7" t="s">
        <v>3507</v>
      </c>
      <c r="D734" s="7" t="s">
        <v>3508</v>
      </c>
      <c r="E734" s="8">
        <v>74321007</v>
      </c>
      <c r="F734" s="8">
        <v>1920</v>
      </c>
      <c r="G734" s="7" t="s">
        <v>27</v>
      </c>
      <c r="H734" s="7" t="s">
        <v>3509</v>
      </c>
      <c r="I734" s="7" t="s">
        <v>3510</v>
      </c>
      <c r="J734" s="8">
        <f>74952408424</f>
      </c>
      <c r="K734" s="8">
        <v>6118</v>
      </c>
      <c r="L734" s="7" t="s">
        <v>1276</v>
      </c>
      <c r="M734" s="8">
        <v>105</v>
      </c>
      <c r="N734" s="7" t="s">
        <v>1277</v>
      </c>
      <c r="O734" s="7" t="s">
        <v>32</v>
      </c>
      <c r="P734" s="7" t="s">
        <v>32</v>
      </c>
      <c r="Q734" s="8" t="s">
        <v>58</v>
      </c>
      <c r="R734" s="7" t="s">
        <v>33</v>
      </c>
      <c r="S734" s="7" t="s">
        <v>34</v>
      </c>
      <c r="T734" s="10">
        <v>0</v>
      </c>
      <c r="U734" s="7"/>
      <c r="V734" s="10">
        <v>0</v>
      </c>
      <c r="W734" s="7" t="s">
        <v>48</v>
      </c>
      <c r="X734" s="10" t="s">
        <v>36</v>
      </c>
      <c r="Y734" s="7" t="s">
        <v>59</v>
      </c>
    </row>
    <row x14ac:dyDescent="0.25" r="735" customHeight="1" ht="18.75">
      <c r="A735" s="11">
        <v>74221019</v>
      </c>
      <c r="B735" s="12">
        <v>1921</v>
      </c>
      <c r="C735" s="13" t="s">
        <v>3511</v>
      </c>
      <c r="D735" s="13" t="s">
        <v>3512</v>
      </c>
      <c r="E735" s="14">
        <v>74321019</v>
      </c>
      <c r="F735" s="14">
        <v>1921</v>
      </c>
      <c r="G735" s="13" t="s">
        <v>27</v>
      </c>
      <c r="H735" s="13" t="s">
        <v>3513</v>
      </c>
      <c r="I735" s="13" t="s">
        <v>3514</v>
      </c>
      <c r="J735" s="14">
        <f>74952408424</f>
      </c>
      <c r="K735" s="14">
        <v>6196</v>
      </c>
      <c r="L735" s="13" t="s">
        <v>1276</v>
      </c>
      <c r="M735" s="14">
        <v>105</v>
      </c>
      <c r="N735" s="13" t="s">
        <v>1277</v>
      </c>
      <c r="O735" s="13" t="s">
        <v>82</v>
      </c>
      <c r="P735" s="13" t="s">
        <v>2100</v>
      </c>
      <c r="Q735" s="14" t="s">
        <v>3515</v>
      </c>
      <c r="R735" s="13" t="s">
        <v>33</v>
      </c>
      <c r="S735" s="13" t="s">
        <v>34</v>
      </c>
      <c r="T735" s="15">
        <v>0</v>
      </c>
      <c r="U735" s="13"/>
      <c r="V735" s="15">
        <v>0</v>
      </c>
      <c r="W735" s="13" t="s">
        <v>48</v>
      </c>
      <c r="X735" s="15" t="s">
        <v>65</v>
      </c>
      <c r="Y735" s="13" t="s">
        <v>84</v>
      </c>
    </row>
    <row x14ac:dyDescent="0.25" r="736" customHeight="1" ht="18.75">
      <c r="A736" s="5">
        <v>74221033</v>
      </c>
      <c r="B736" s="6">
        <v>1922</v>
      </c>
      <c r="C736" s="7" t="s">
        <v>3516</v>
      </c>
      <c r="D736" s="7" t="s">
        <v>3517</v>
      </c>
      <c r="E736" s="8">
        <v>74321033</v>
      </c>
      <c r="F736" s="8">
        <v>1922</v>
      </c>
      <c r="G736" s="7" t="s">
        <v>27</v>
      </c>
      <c r="H736" s="7" t="s">
        <v>3518</v>
      </c>
      <c r="I736" s="7" t="s">
        <v>3519</v>
      </c>
      <c r="J736" s="8">
        <f>74952408424</f>
      </c>
      <c r="K736" s="8">
        <v>6812</v>
      </c>
      <c r="L736" s="7" t="s">
        <v>1276</v>
      </c>
      <c r="M736" s="8">
        <v>105</v>
      </c>
      <c r="N736" s="7" t="s">
        <v>1277</v>
      </c>
      <c r="O736" s="7" t="s">
        <v>96</v>
      </c>
      <c r="P736" s="7" t="s">
        <v>3520</v>
      </c>
      <c r="Q736" s="8" t="s">
        <v>182</v>
      </c>
      <c r="R736" s="7" t="s">
        <v>33</v>
      </c>
      <c r="S736" s="7" t="s">
        <v>34</v>
      </c>
      <c r="T736" s="10">
        <v>0</v>
      </c>
      <c r="U736" s="7" t="s">
        <v>48</v>
      </c>
      <c r="V736" s="10" t="s">
        <v>64</v>
      </c>
      <c r="W736" s="7" t="s">
        <v>48</v>
      </c>
      <c r="X736" s="10" t="s">
        <v>65</v>
      </c>
      <c r="Y736" s="7" t="s">
        <v>59</v>
      </c>
    </row>
    <row x14ac:dyDescent="0.25" r="737" customHeight="1" ht="18.75">
      <c r="A737" s="11">
        <v>74221035</v>
      </c>
      <c r="B737" s="12">
        <v>1923</v>
      </c>
      <c r="C737" s="13" t="s">
        <v>3521</v>
      </c>
      <c r="D737" s="13" t="s">
        <v>3522</v>
      </c>
      <c r="E737" s="14">
        <v>74321035</v>
      </c>
      <c r="F737" s="14">
        <v>1923</v>
      </c>
      <c r="G737" s="13" t="s">
        <v>27</v>
      </c>
      <c r="H737" s="13" t="s">
        <v>3523</v>
      </c>
      <c r="I737" s="13" t="s">
        <v>3524</v>
      </c>
      <c r="J737" s="14">
        <f>74952408424</f>
      </c>
      <c r="K737" s="14">
        <v>6982</v>
      </c>
      <c r="L737" s="13" t="s">
        <v>1276</v>
      </c>
      <c r="M737" s="14">
        <v>105</v>
      </c>
      <c r="N737" s="13" t="s">
        <v>1277</v>
      </c>
      <c r="O737" s="13" t="s">
        <v>82</v>
      </c>
      <c r="P737" s="13" t="s">
        <v>3525</v>
      </c>
      <c r="Q737" s="14" t="s">
        <v>3522</v>
      </c>
      <c r="R737" s="13" t="s">
        <v>33</v>
      </c>
      <c r="S737" s="13" t="s">
        <v>34</v>
      </c>
      <c r="T737" s="15">
        <v>0</v>
      </c>
      <c r="U737" s="13" t="s">
        <v>48</v>
      </c>
      <c r="V737" s="15" t="s">
        <v>64</v>
      </c>
      <c r="W737" s="13" t="s">
        <v>48</v>
      </c>
      <c r="X737" s="15" t="s">
        <v>65</v>
      </c>
      <c r="Y737" s="13" t="s">
        <v>84</v>
      </c>
    </row>
    <row x14ac:dyDescent="0.25" r="738" customHeight="1" ht="18.75">
      <c r="A738" s="5">
        <v>74221037</v>
      </c>
      <c r="B738" s="6">
        <v>1924</v>
      </c>
      <c r="C738" s="7" t="s">
        <v>3526</v>
      </c>
      <c r="D738" s="7" t="s">
        <v>3527</v>
      </c>
      <c r="E738" s="8">
        <v>74321037</v>
      </c>
      <c r="F738" s="8">
        <v>1924</v>
      </c>
      <c r="G738" s="7" t="s">
        <v>27</v>
      </c>
      <c r="H738" s="7" t="s">
        <v>3528</v>
      </c>
      <c r="I738" s="7" t="s">
        <v>3529</v>
      </c>
      <c r="J738" s="8">
        <f>74952408424</f>
      </c>
      <c r="K738" s="8">
        <v>6992</v>
      </c>
      <c r="L738" s="7" t="s">
        <v>1276</v>
      </c>
      <c r="M738" s="8">
        <v>105</v>
      </c>
      <c r="N738" s="7" t="s">
        <v>1277</v>
      </c>
      <c r="O738" s="7" t="s">
        <v>82</v>
      </c>
      <c r="P738" s="7" t="s">
        <v>2100</v>
      </c>
      <c r="Q738" s="8" t="s">
        <v>58</v>
      </c>
      <c r="R738" s="7" t="s">
        <v>33</v>
      </c>
      <c r="S738" s="7" t="s">
        <v>34</v>
      </c>
      <c r="T738" s="10">
        <v>0</v>
      </c>
      <c r="U738" s="7" t="s">
        <v>48</v>
      </c>
      <c r="V738" s="10" t="s">
        <v>64</v>
      </c>
      <c r="W738" s="7" t="s">
        <v>48</v>
      </c>
      <c r="X738" s="10" t="s">
        <v>65</v>
      </c>
      <c r="Y738" s="7" t="s">
        <v>37</v>
      </c>
    </row>
    <row x14ac:dyDescent="0.25" r="739" customHeight="1" ht="18.75">
      <c r="A739" s="11">
        <v>74221038</v>
      </c>
      <c r="B739" s="12">
        <v>1925</v>
      </c>
      <c r="C739" s="13" t="s">
        <v>3530</v>
      </c>
      <c r="D739" s="13" t="s">
        <v>3531</v>
      </c>
      <c r="E739" s="14">
        <v>74321038</v>
      </c>
      <c r="F739" s="14">
        <v>1925</v>
      </c>
      <c r="G739" s="13" t="s">
        <v>27</v>
      </c>
      <c r="H739" s="13" t="s">
        <v>3532</v>
      </c>
      <c r="I739" s="13" t="s">
        <v>3533</v>
      </c>
      <c r="J739" s="14">
        <f>74952408424</f>
      </c>
      <c r="K739" s="14">
        <v>6930</v>
      </c>
      <c r="L739" s="13" t="s">
        <v>1276</v>
      </c>
      <c r="M739" s="14">
        <v>105</v>
      </c>
      <c r="N739" s="13" t="s">
        <v>1277</v>
      </c>
      <c r="O739" s="13" t="s">
        <v>119</v>
      </c>
      <c r="P739" s="13" t="s">
        <v>3301</v>
      </c>
      <c r="Q739" s="14" t="s">
        <v>3534</v>
      </c>
      <c r="R739" s="13" t="s">
        <v>33</v>
      </c>
      <c r="S739" s="13" t="s">
        <v>34</v>
      </c>
      <c r="T739" s="15">
        <v>0</v>
      </c>
      <c r="U739" s="13" t="s">
        <v>48</v>
      </c>
      <c r="V739" s="15" t="s">
        <v>64</v>
      </c>
      <c r="W739" s="13" t="s">
        <v>48</v>
      </c>
      <c r="X739" s="15" t="s">
        <v>36</v>
      </c>
      <c r="Y739" s="13" t="s">
        <v>37</v>
      </c>
    </row>
    <row x14ac:dyDescent="0.25" r="740" customHeight="1" ht="18.75">
      <c r="A740" s="5">
        <v>74221042</v>
      </c>
      <c r="B740" s="6">
        <v>1926</v>
      </c>
      <c r="C740" s="7" t="s">
        <v>3535</v>
      </c>
      <c r="D740" s="7" t="s">
        <v>3536</v>
      </c>
      <c r="E740" s="8">
        <v>74321042</v>
      </c>
      <c r="F740" s="8">
        <v>1926</v>
      </c>
      <c r="G740" s="7" t="s">
        <v>27</v>
      </c>
      <c r="H740" s="7" t="s">
        <v>3537</v>
      </c>
      <c r="I740" s="7" t="s">
        <v>3538</v>
      </c>
      <c r="J740" s="8">
        <f>74952408424</f>
      </c>
      <c r="K740" s="8">
        <v>6990</v>
      </c>
      <c r="L740" s="7" t="s">
        <v>1276</v>
      </c>
      <c r="M740" s="8">
        <v>105</v>
      </c>
      <c r="N740" s="7" t="s">
        <v>1277</v>
      </c>
      <c r="O740" s="7" t="s">
        <v>82</v>
      </c>
      <c r="P740" s="7" t="s">
        <v>3539</v>
      </c>
      <c r="Q740" s="8" t="s">
        <v>58</v>
      </c>
      <c r="R740" s="7" t="s">
        <v>33</v>
      </c>
      <c r="S740" s="7" t="s">
        <v>34</v>
      </c>
      <c r="T740" s="10">
        <v>0</v>
      </c>
      <c r="U740" s="7" t="s">
        <v>48</v>
      </c>
      <c r="V740" s="10" t="s">
        <v>64</v>
      </c>
      <c r="W740" s="7" t="s">
        <v>48</v>
      </c>
      <c r="X740" s="10" t="s">
        <v>65</v>
      </c>
      <c r="Y740" s="7" t="s">
        <v>37</v>
      </c>
    </row>
    <row x14ac:dyDescent="0.25" r="741" customHeight="1" ht="18.75">
      <c r="A741" s="11">
        <v>74221043</v>
      </c>
      <c r="B741" s="12">
        <v>1927</v>
      </c>
      <c r="C741" s="13" t="s">
        <v>3540</v>
      </c>
      <c r="D741" s="13" t="s">
        <v>3541</v>
      </c>
      <c r="E741" s="14">
        <v>74321043</v>
      </c>
      <c r="F741" s="14">
        <v>1927</v>
      </c>
      <c r="G741" s="13" t="s">
        <v>27</v>
      </c>
      <c r="H741" s="13" t="s">
        <v>3542</v>
      </c>
      <c r="I741" s="13" t="s">
        <v>3543</v>
      </c>
      <c r="J741" s="14">
        <f>74952408424</f>
      </c>
      <c r="K741" s="14">
        <v>6176</v>
      </c>
      <c r="L741" s="13" t="s">
        <v>1276</v>
      </c>
      <c r="M741" s="14">
        <v>105</v>
      </c>
      <c r="N741" s="13" t="s">
        <v>1277</v>
      </c>
      <c r="O741" s="13" t="s">
        <v>82</v>
      </c>
      <c r="P741" s="13" t="s">
        <v>3544</v>
      </c>
      <c r="Q741" s="14" t="s">
        <v>58</v>
      </c>
      <c r="R741" s="13" t="s">
        <v>33</v>
      </c>
      <c r="S741" s="13" t="s">
        <v>34</v>
      </c>
      <c r="T741" s="15">
        <v>0</v>
      </c>
      <c r="U741" s="13" t="s">
        <v>48</v>
      </c>
      <c r="V741" s="15" t="s">
        <v>64</v>
      </c>
      <c r="W741" s="13" t="s">
        <v>48</v>
      </c>
      <c r="X741" s="15" t="s">
        <v>65</v>
      </c>
      <c r="Y741" s="13" t="s">
        <v>37</v>
      </c>
    </row>
    <row x14ac:dyDescent="0.25" r="742" customHeight="1" ht="18.75">
      <c r="A742" s="5">
        <v>74221045</v>
      </c>
      <c r="B742" s="6">
        <v>1928</v>
      </c>
      <c r="C742" s="7" t="s">
        <v>3545</v>
      </c>
      <c r="D742" s="7" t="s">
        <v>3546</v>
      </c>
      <c r="E742" s="8">
        <v>74321045</v>
      </c>
      <c r="F742" s="8">
        <v>1928</v>
      </c>
      <c r="G742" s="7" t="s">
        <v>27</v>
      </c>
      <c r="H742" s="7" t="s">
        <v>3547</v>
      </c>
      <c r="I742" s="7" t="s">
        <v>3548</v>
      </c>
      <c r="J742" s="8">
        <f>74952408424</f>
      </c>
      <c r="K742" s="8">
        <v>6988</v>
      </c>
      <c r="L742" s="7" t="s">
        <v>1276</v>
      </c>
      <c r="M742" s="8">
        <v>105</v>
      </c>
      <c r="N742" s="7" t="s">
        <v>1277</v>
      </c>
      <c r="O742" s="7" t="s">
        <v>82</v>
      </c>
      <c r="P742" s="7" t="s">
        <v>1814</v>
      </c>
      <c r="Q742" s="8" t="s">
        <v>58</v>
      </c>
      <c r="R742" s="7" t="s">
        <v>33</v>
      </c>
      <c r="S742" s="7" t="s">
        <v>34</v>
      </c>
      <c r="T742" s="10">
        <v>0</v>
      </c>
      <c r="U742" s="7"/>
      <c r="V742" s="10">
        <v>0</v>
      </c>
      <c r="W742" s="7" t="s">
        <v>48</v>
      </c>
      <c r="X742" s="10" t="s">
        <v>65</v>
      </c>
      <c r="Y742" s="7" t="s">
        <v>37</v>
      </c>
    </row>
    <row x14ac:dyDescent="0.25" r="743" customHeight="1" ht="18.75">
      <c r="A743" s="11">
        <v>74221065</v>
      </c>
      <c r="B743" s="12">
        <v>1929</v>
      </c>
      <c r="C743" s="13" t="s">
        <v>3549</v>
      </c>
      <c r="D743" s="13" t="s">
        <v>3550</v>
      </c>
      <c r="E743" s="14">
        <v>74321065</v>
      </c>
      <c r="F743" s="14">
        <v>1929</v>
      </c>
      <c r="G743" s="13" t="s">
        <v>27</v>
      </c>
      <c r="H743" s="13" t="s">
        <v>3551</v>
      </c>
      <c r="I743" s="13" t="s">
        <v>3552</v>
      </c>
      <c r="J743" s="14">
        <f>74952408424</f>
      </c>
      <c r="K743" s="14">
        <v>6986</v>
      </c>
      <c r="L743" s="13" t="s">
        <v>1276</v>
      </c>
      <c r="M743" s="14">
        <v>105</v>
      </c>
      <c r="N743" s="13" t="s">
        <v>1277</v>
      </c>
      <c r="O743" s="13" t="s">
        <v>82</v>
      </c>
      <c r="P743" s="13" t="s">
        <v>3111</v>
      </c>
      <c r="Q743" s="14" t="s">
        <v>58</v>
      </c>
      <c r="R743" s="13" t="s">
        <v>33</v>
      </c>
      <c r="S743" s="13" t="s">
        <v>34</v>
      </c>
      <c r="T743" s="15">
        <v>0</v>
      </c>
      <c r="U743" s="13"/>
      <c r="V743" s="15">
        <v>0</v>
      </c>
      <c r="W743" s="13" t="s">
        <v>48</v>
      </c>
      <c r="X743" s="15" t="s">
        <v>65</v>
      </c>
      <c r="Y743" s="13" t="s">
        <v>37</v>
      </c>
    </row>
    <row x14ac:dyDescent="0.25" r="744" customHeight="1" ht="18.75">
      <c r="A744" s="5">
        <v>74221073</v>
      </c>
      <c r="B744" s="6">
        <v>1930</v>
      </c>
      <c r="C744" s="7" t="s">
        <v>3553</v>
      </c>
      <c r="D744" s="7" t="s">
        <v>3554</v>
      </c>
      <c r="E744" s="8">
        <v>74321073</v>
      </c>
      <c r="F744" s="8">
        <v>1930</v>
      </c>
      <c r="G744" s="7" t="s">
        <v>27</v>
      </c>
      <c r="H744" s="7" t="s">
        <v>3555</v>
      </c>
      <c r="I744" s="7" t="s">
        <v>3556</v>
      </c>
      <c r="J744" s="8">
        <f>74952408424</f>
      </c>
      <c r="K744" s="8">
        <v>6980</v>
      </c>
      <c r="L744" s="7" t="s">
        <v>1276</v>
      </c>
      <c r="M744" s="8">
        <v>105</v>
      </c>
      <c r="N744" s="7" t="s">
        <v>1277</v>
      </c>
      <c r="O744" s="7" t="s">
        <v>82</v>
      </c>
      <c r="P744" s="7" t="s">
        <v>2368</v>
      </c>
      <c r="Q744" s="8" t="s">
        <v>58</v>
      </c>
      <c r="R744" s="7" t="s">
        <v>33</v>
      </c>
      <c r="S744" s="7" t="s">
        <v>34</v>
      </c>
      <c r="T744" s="10">
        <v>0</v>
      </c>
      <c r="U744" s="7"/>
      <c r="V744" s="10">
        <v>0</v>
      </c>
      <c r="W744" s="7" t="s">
        <v>48</v>
      </c>
      <c r="X744" s="10" t="s">
        <v>65</v>
      </c>
      <c r="Y744" s="7" t="s">
        <v>37</v>
      </c>
    </row>
    <row x14ac:dyDescent="0.25" r="745" customHeight="1" ht="18.75">
      <c r="A745" s="11">
        <v>74221076</v>
      </c>
      <c r="B745" s="12">
        <v>1932</v>
      </c>
      <c r="C745" s="13" t="s">
        <v>3557</v>
      </c>
      <c r="D745" s="13" t="s">
        <v>3558</v>
      </c>
      <c r="E745" s="14">
        <v>74321076</v>
      </c>
      <c r="F745" s="14">
        <v>1932</v>
      </c>
      <c r="G745" s="13" t="s">
        <v>27</v>
      </c>
      <c r="H745" s="13" t="s">
        <v>3559</v>
      </c>
      <c r="I745" s="13" t="s">
        <v>3560</v>
      </c>
      <c r="J745" s="14">
        <f>74952408424</f>
      </c>
      <c r="K745" s="14">
        <v>6426</v>
      </c>
      <c r="L745" s="13" t="s">
        <v>1276</v>
      </c>
      <c r="M745" s="14">
        <v>105</v>
      </c>
      <c r="N745" s="13" t="s">
        <v>1277</v>
      </c>
      <c r="O745" s="13" t="s">
        <v>73</v>
      </c>
      <c r="P745" s="13" t="s">
        <v>2181</v>
      </c>
      <c r="Q745" s="14" t="s">
        <v>182</v>
      </c>
      <c r="R745" s="13" t="s">
        <v>33</v>
      </c>
      <c r="S745" s="13" t="s">
        <v>34</v>
      </c>
      <c r="T745" s="15">
        <v>0</v>
      </c>
      <c r="U745" s="13" t="s">
        <v>48</v>
      </c>
      <c r="V745" s="15" t="s">
        <v>64</v>
      </c>
      <c r="W745" s="13" t="s">
        <v>48</v>
      </c>
      <c r="X745" s="15" t="s">
        <v>36</v>
      </c>
      <c r="Y745" s="13" t="s">
        <v>37</v>
      </c>
    </row>
    <row x14ac:dyDescent="0.25" r="746" customHeight="1" ht="18.75">
      <c r="A746" s="5">
        <v>74221077</v>
      </c>
      <c r="B746" s="6">
        <v>1933</v>
      </c>
      <c r="C746" s="7" t="s">
        <v>3561</v>
      </c>
      <c r="D746" s="7" t="s">
        <v>3562</v>
      </c>
      <c r="E746" s="8">
        <v>74321077</v>
      </c>
      <c r="F746" s="8">
        <v>1933</v>
      </c>
      <c r="G746" s="7" t="s">
        <v>27</v>
      </c>
      <c r="H746" s="7" t="s">
        <v>3563</v>
      </c>
      <c r="I746" s="7" t="s">
        <v>3564</v>
      </c>
      <c r="J746" s="8">
        <f>74952408424</f>
      </c>
      <c r="K746" s="8">
        <v>6388</v>
      </c>
      <c r="L746" s="7" t="s">
        <v>1276</v>
      </c>
      <c r="M746" s="8">
        <v>105</v>
      </c>
      <c r="N746" s="7" t="s">
        <v>1277</v>
      </c>
      <c r="O746" s="7" t="s">
        <v>73</v>
      </c>
      <c r="P746" s="7" t="s">
        <v>1532</v>
      </c>
      <c r="Q746" s="8" t="s">
        <v>1533</v>
      </c>
      <c r="R746" s="7" t="s">
        <v>33</v>
      </c>
      <c r="S746" s="7" t="s">
        <v>34</v>
      </c>
      <c r="T746" s="10">
        <v>0</v>
      </c>
      <c r="U746" s="7" t="s">
        <v>48</v>
      </c>
      <c r="V746" s="10" t="s">
        <v>64</v>
      </c>
      <c r="W746" s="7" t="s">
        <v>48</v>
      </c>
      <c r="X746" s="10" t="s">
        <v>65</v>
      </c>
      <c r="Y746" s="7" t="s">
        <v>37</v>
      </c>
    </row>
    <row x14ac:dyDescent="0.25" r="747" customHeight="1" ht="18.75">
      <c r="A747" s="11">
        <v>74221082</v>
      </c>
      <c r="B747" s="12">
        <v>1934</v>
      </c>
      <c r="C747" s="13" t="s">
        <v>3565</v>
      </c>
      <c r="D747" s="13" t="s">
        <v>3566</v>
      </c>
      <c r="E747" s="14">
        <v>74321082</v>
      </c>
      <c r="F747" s="14">
        <v>1934</v>
      </c>
      <c r="G747" s="13" t="s">
        <v>27</v>
      </c>
      <c r="H747" s="13" t="s">
        <v>3567</v>
      </c>
      <c r="I747" s="13" t="s">
        <v>3568</v>
      </c>
      <c r="J747" s="14">
        <f>74952408424</f>
      </c>
      <c r="K747" s="14">
        <v>6274</v>
      </c>
      <c r="L747" s="13" t="s">
        <v>1276</v>
      </c>
      <c r="M747" s="14">
        <v>105</v>
      </c>
      <c r="N747" s="13" t="s">
        <v>1277</v>
      </c>
      <c r="O747" s="13" t="s">
        <v>96</v>
      </c>
      <c r="P747" s="13" t="s">
        <v>1799</v>
      </c>
      <c r="Q747" s="14" t="s">
        <v>3569</v>
      </c>
      <c r="R747" s="13" t="s">
        <v>33</v>
      </c>
      <c r="S747" s="13" t="s">
        <v>34</v>
      </c>
      <c r="T747" s="15">
        <v>0</v>
      </c>
      <c r="U747" s="13" t="s">
        <v>48</v>
      </c>
      <c r="V747" s="15" t="s">
        <v>64</v>
      </c>
      <c r="W747" s="13" t="s">
        <v>48</v>
      </c>
      <c r="X747" s="15" t="s">
        <v>36</v>
      </c>
      <c r="Y747" s="13" t="s">
        <v>59</v>
      </c>
    </row>
    <row x14ac:dyDescent="0.25" r="748" customHeight="1" ht="18.75">
      <c r="A748" s="5">
        <v>74221097</v>
      </c>
      <c r="B748" s="6">
        <v>1935</v>
      </c>
      <c r="C748" s="7" t="s">
        <v>3570</v>
      </c>
      <c r="D748" s="7" t="s">
        <v>3571</v>
      </c>
      <c r="E748" s="8">
        <v>74321097</v>
      </c>
      <c r="F748" s="8">
        <v>1935</v>
      </c>
      <c r="G748" s="7" t="s">
        <v>27</v>
      </c>
      <c r="H748" s="7" t="s">
        <v>3572</v>
      </c>
      <c r="I748" s="7" t="s">
        <v>3573</v>
      </c>
      <c r="J748" s="8">
        <f>74952408424</f>
      </c>
      <c r="K748" s="8">
        <v>6976</v>
      </c>
      <c r="L748" s="7" t="s">
        <v>1276</v>
      </c>
      <c r="M748" s="8">
        <v>105</v>
      </c>
      <c r="N748" s="7" t="s">
        <v>1277</v>
      </c>
      <c r="O748" s="7" t="s">
        <v>82</v>
      </c>
      <c r="P748" s="7" t="s">
        <v>2486</v>
      </c>
      <c r="Q748" s="8" t="s">
        <v>58</v>
      </c>
      <c r="R748" s="7" t="s">
        <v>33</v>
      </c>
      <c r="S748" s="7" t="s">
        <v>34</v>
      </c>
      <c r="T748" s="10">
        <v>0</v>
      </c>
      <c r="U748" s="7"/>
      <c r="V748" s="10">
        <v>0</v>
      </c>
      <c r="W748" s="7" t="s">
        <v>48</v>
      </c>
      <c r="X748" s="10" t="s">
        <v>65</v>
      </c>
      <c r="Y748" s="7" t="s">
        <v>37</v>
      </c>
    </row>
    <row x14ac:dyDescent="0.25" r="749" customHeight="1" ht="18.75">
      <c r="A749" s="11">
        <v>74220958</v>
      </c>
      <c r="B749" s="12">
        <v>1936</v>
      </c>
      <c r="C749" s="13" t="s">
        <v>3574</v>
      </c>
      <c r="D749" s="13" t="s">
        <v>3575</v>
      </c>
      <c r="E749" s="14">
        <v>74320958</v>
      </c>
      <c r="F749" s="14">
        <v>1936</v>
      </c>
      <c r="G749" s="13" t="s">
        <v>27</v>
      </c>
      <c r="H749" s="13" t="s">
        <v>3576</v>
      </c>
      <c r="I749" s="13" t="s">
        <v>3577</v>
      </c>
      <c r="J749" s="14">
        <f>74952408424</f>
      </c>
      <c r="K749" s="14">
        <v>6194</v>
      </c>
      <c r="L749" s="13" t="s">
        <v>1276</v>
      </c>
      <c r="M749" s="14">
        <v>105</v>
      </c>
      <c r="N749" s="13" t="s">
        <v>1277</v>
      </c>
      <c r="O749" s="13" t="s">
        <v>82</v>
      </c>
      <c r="P749" s="13" t="s">
        <v>3578</v>
      </c>
      <c r="Q749" s="14" t="s">
        <v>3575</v>
      </c>
      <c r="R749" s="13" t="s">
        <v>33</v>
      </c>
      <c r="S749" s="13" t="s">
        <v>34</v>
      </c>
      <c r="T749" s="15">
        <v>0</v>
      </c>
      <c r="U749" s="13"/>
      <c r="V749" s="15">
        <v>0</v>
      </c>
      <c r="W749" s="13" t="s">
        <v>48</v>
      </c>
      <c r="X749" s="15" t="s">
        <v>65</v>
      </c>
      <c r="Y749" s="13" t="s">
        <v>84</v>
      </c>
    </row>
    <row x14ac:dyDescent="0.25" r="750" customHeight="1" ht="18.75">
      <c r="A750" s="5">
        <v>74221145</v>
      </c>
      <c r="B750" s="6">
        <v>1937</v>
      </c>
      <c r="C750" s="7" t="s">
        <v>3579</v>
      </c>
      <c r="D750" s="7" t="s">
        <v>3580</v>
      </c>
      <c r="E750" s="8">
        <v>74321145</v>
      </c>
      <c r="F750" s="8">
        <v>1937</v>
      </c>
      <c r="G750" s="7" t="s">
        <v>27</v>
      </c>
      <c r="H750" s="7" t="s">
        <v>3581</v>
      </c>
      <c r="I750" s="7" t="s">
        <v>3582</v>
      </c>
      <c r="J750" s="8">
        <f>74952408424</f>
      </c>
      <c r="K750" s="8">
        <v>6612</v>
      </c>
      <c r="L750" s="7" t="s">
        <v>1276</v>
      </c>
      <c r="M750" s="8">
        <v>105</v>
      </c>
      <c r="N750" s="7" t="s">
        <v>1277</v>
      </c>
      <c r="O750" s="7" t="s">
        <v>96</v>
      </c>
      <c r="P750" s="7" t="s">
        <v>2197</v>
      </c>
      <c r="Q750" s="8" t="s">
        <v>182</v>
      </c>
      <c r="R750" s="7" t="s">
        <v>33</v>
      </c>
      <c r="S750" s="7" t="s">
        <v>34</v>
      </c>
      <c r="T750" s="10">
        <v>0</v>
      </c>
      <c r="U750" s="7"/>
      <c r="V750" s="10">
        <v>0</v>
      </c>
      <c r="W750" s="7" t="s">
        <v>48</v>
      </c>
      <c r="X750" s="10" t="s">
        <v>65</v>
      </c>
      <c r="Y750" s="7" t="s">
        <v>37</v>
      </c>
    </row>
    <row x14ac:dyDescent="0.25" r="751" customHeight="1" ht="18.75">
      <c r="A751" s="11">
        <v>74221144</v>
      </c>
      <c r="B751" s="12">
        <v>1938</v>
      </c>
      <c r="C751" s="13" t="s">
        <v>3583</v>
      </c>
      <c r="D751" s="13" t="s">
        <v>3584</v>
      </c>
      <c r="E751" s="14">
        <v>74321144</v>
      </c>
      <c r="F751" s="14">
        <v>1938</v>
      </c>
      <c r="G751" s="13" t="s">
        <v>27</v>
      </c>
      <c r="H751" s="13" t="s">
        <v>3585</v>
      </c>
      <c r="I751" s="13" t="s">
        <v>3586</v>
      </c>
      <c r="J751" s="14">
        <f>74952408424</f>
      </c>
      <c r="K751" s="14">
        <v>6814</v>
      </c>
      <c r="L751" s="13" t="s">
        <v>1276</v>
      </c>
      <c r="M751" s="14">
        <v>105</v>
      </c>
      <c r="N751" s="13" t="s">
        <v>1277</v>
      </c>
      <c r="O751" s="13" t="s">
        <v>96</v>
      </c>
      <c r="P751" s="13" t="s">
        <v>3520</v>
      </c>
      <c r="Q751" s="14" t="s">
        <v>182</v>
      </c>
      <c r="R751" s="13" t="s">
        <v>33</v>
      </c>
      <c r="S751" s="13" t="s">
        <v>34</v>
      </c>
      <c r="T751" s="15">
        <v>0</v>
      </c>
      <c r="U751" s="13"/>
      <c r="V751" s="15">
        <v>0</v>
      </c>
      <c r="W751" s="13" t="s">
        <v>48</v>
      </c>
      <c r="X751" s="15" t="s">
        <v>65</v>
      </c>
      <c r="Y751" s="13" t="s">
        <v>37</v>
      </c>
    </row>
    <row x14ac:dyDescent="0.25" r="752" customHeight="1" ht="18.75">
      <c r="A752" s="5">
        <v>74221067</v>
      </c>
      <c r="B752" s="6">
        <v>1939</v>
      </c>
      <c r="C752" s="7" t="s">
        <v>3587</v>
      </c>
      <c r="D752" s="7" t="s">
        <v>3588</v>
      </c>
      <c r="E752" s="8">
        <v>74321067</v>
      </c>
      <c r="F752" s="8">
        <v>1939</v>
      </c>
      <c r="G752" s="7" t="s">
        <v>27</v>
      </c>
      <c r="H752" s="7" t="s">
        <v>3589</v>
      </c>
      <c r="I752" s="7" t="s">
        <v>3590</v>
      </c>
      <c r="J752" s="8">
        <f>74952408424</f>
      </c>
      <c r="K752" s="8">
        <v>6386</v>
      </c>
      <c r="L752" s="7" t="s">
        <v>1276</v>
      </c>
      <c r="M752" s="8">
        <v>105</v>
      </c>
      <c r="N752" s="7" t="s">
        <v>1277</v>
      </c>
      <c r="O752" s="7" t="s">
        <v>73</v>
      </c>
      <c r="P752" s="7" t="s">
        <v>1532</v>
      </c>
      <c r="Q752" s="8" t="s">
        <v>1533</v>
      </c>
      <c r="R752" s="7" t="s">
        <v>33</v>
      </c>
      <c r="S752" s="7" t="s">
        <v>34</v>
      </c>
      <c r="T752" s="10">
        <v>0</v>
      </c>
      <c r="U752" s="7"/>
      <c r="V752" s="10">
        <v>0</v>
      </c>
      <c r="W752" s="7" t="s">
        <v>48</v>
      </c>
      <c r="X752" s="10" t="s">
        <v>65</v>
      </c>
      <c r="Y752" s="7" t="s">
        <v>37</v>
      </c>
    </row>
    <row x14ac:dyDescent="0.25" r="753" customHeight="1" ht="18.75">
      <c r="A753" s="11">
        <v>74220904</v>
      </c>
      <c r="B753" s="12">
        <v>1940</v>
      </c>
      <c r="C753" s="13" t="s">
        <v>3591</v>
      </c>
      <c r="D753" s="13" t="s">
        <v>3592</v>
      </c>
      <c r="E753" s="14">
        <v>74320904</v>
      </c>
      <c r="F753" s="14">
        <v>1940</v>
      </c>
      <c r="G753" s="13" t="s">
        <v>27</v>
      </c>
      <c r="H753" s="13" t="s">
        <v>3593</v>
      </c>
      <c r="I753" s="13" t="s">
        <v>3594</v>
      </c>
      <c r="J753" s="14">
        <f>74952408424</f>
      </c>
      <c r="K753" s="14">
        <v>6160</v>
      </c>
      <c r="L753" s="13" t="s">
        <v>1276</v>
      </c>
      <c r="M753" s="14">
        <v>105</v>
      </c>
      <c r="N753" s="13" t="s">
        <v>1277</v>
      </c>
      <c r="O753" s="13" t="s">
        <v>82</v>
      </c>
      <c r="P753" s="13" t="s">
        <v>268</v>
      </c>
      <c r="Q753" s="14" t="s">
        <v>58</v>
      </c>
      <c r="R753" s="13" t="s">
        <v>33</v>
      </c>
      <c r="S753" s="13" t="s">
        <v>34</v>
      </c>
      <c r="T753" s="15">
        <v>0</v>
      </c>
      <c r="U753" s="13"/>
      <c r="V753" s="15">
        <v>0</v>
      </c>
      <c r="W753" s="13" t="s">
        <v>48</v>
      </c>
      <c r="X753" s="15" t="s">
        <v>36</v>
      </c>
      <c r="Y753" s="13" t="s">
        <v>84</v>
      </c>
    </row>
    <row x14ac:dyDescent="0.25" r="754" customHeight="1" ht="18.75">
      <c r="A754" s="5">
        <v>74221020</v>
      </c>
      <c r="B754" s="6">
        <v>1941</v>
      </c>
      <c r="C754" s="7" t="s">
        <v>3595</v>
      </c>
      <c r="D754" s="7" t="s">
        <v>3596</v>
      </c>
      <c r="E754" s="8">
        <v>74321020</v>
      </c>
      <c r="F754" s="8">
        <v>1941</v>
      </c>
      <c r="G754" s="7" t="s">
        <v>27</v>
      </c>
      <c r="H754" s="7" t="s">
        <v>3597</v>
      </c>
      <c r="I754" s="7" t="s">
        <v>3598</v>
      </c>
      <c r="J754" s="8">
        <f>74952408424</f>
      </c>
      <c r="K754" s="8">
        <v>6316</v>
      </c>
      <c r="L754" s="7" t="s">
        <v>1276</v>
      </c>
      <c r="M754" s="8">
        <v>105</v>
      </c>
      <c r="N754" s="7" t="s">
        <v>1277</v>
      </c>
      <c r="O754" s="7" t="s">
        <v>73</v>
      </c>
      <c r="P754" s="7" t="s">
        <v>1872</v>
      </c>
      <c r="Q754" s="8" t="s">
        <v>3599</v>
      </c>
      <c r="R754" s="7" t="s">
        <v>33</v>
      </c>
      <c r="S754" s="7" t="s">
        <v>34</v>
      </c>
      <c r="T754" s="10">
        <v>0</v>
      </c>
      <c r="U754" s="7"/>
      <c r="V754" s="10">
        <v>0</v>
      </c>
      <c r="W754" s="7" t="s">
        <v>48</v>
      </c>
      <c r="X754" s="10" t="s">
        <v>36</v>
      </c>
      <c r="Y754" s="7" t="s">
        <v>59</v>
      </c>
    </row>
    <row x14ac:dyDescent="0.25" r="755" customHeight="1" ht="18.75">
      <c r="A755" s="11">
        <v>74221048</v>
      </c>
      <c r="B755" s="12">
        <v>1942</v>
      </c>
      <c r="C755" s="13" t="s">
        <v>3600</v>
      </c>
      <c r="D755" s="13" t="s">
        <v>3601</v>
      </c>
      <c r="E755" s="14">
        <v>74321048</v>
      </c>
      <c r="F755" s="14">
        <v>1942</v>
      </c>
      <c r="G755" s="13" t="s">
        <v>27</v>
      </c>
      <c r="H755" s="13" t="s">
        <v>3602</v>
      </c>
      <c r="I755" s="13" t="s">
        <v>3603</v>
      </c>
      <c r="J755" s="14">
        <f>74952408424</f>
      </c>
      <c r="K755" s="14">
        <v>6984</v>
      </c>
      <c r="L755" s="13" t="s">
        <v>1276</v>
      </c>
      <c r="M755" s="14">
        <v>105</v>
      </c>
      <c r="N755" s="13" t="s">
        <v>1277</v>
      </c>
      <c r="O755" s="13" t="s">
        <v>82</v>
      </c>
      <c r="P755" s="13" t="s">
        <v>268</v>
      </c>
      <c r="Q755" s="14" t="s">
        <v>58</v>
      </c>
      <c r="R755" s="13" t="s">
        <v>33</v>
      </c>
      <c r="S755" s="13" t="s">
        <v>34</v>
      </c>
      <c r="T755" s="15">
        <v>0</v>
      </c>
      <c r="U755" s="13"/>
      <c r="V755" s="15">
        <v>0</v>
      </c>
      <c r="W755" s="13" t="s">
        <v>48</v>
      </c>
      <c r="X755" s="15" t="s">
        <v>36</v>
      </c>
      <c r="Y755" s="13" t="s">
        <v>59</v>
      </c>
    </row>
    <row x14ac:dyDescent="0.25" r="756" customHeight="1" ht="18.75">
      <c r="A756" s="5">
        <v>74221072</v>
      </c>
      <c r="B756" s="6">
        <v>1943</v>
      </c>
      <c r="C756" s="7" t="s">
        <v>3604</v>
      </c>
      <c r="D756" s="7" t="s">
        <v>3605</v>
      </c>
      <c r="E756" s="8">
        <v>74321072</v>
      </c>
      <c r="F756" s="8">
        <v>1943</v>
      </c>
      <c r="G756" s="7" t="s">
        <v>27</v>
      </c>
      <c r="H756" s="7" t="s">
        <v>3606</v>
      </c>
      <c r="I756" s="7" t="s">
        <v>3607</v>
      </c>
      <c r="J756" s="8">
        <f>74952408424</f>
      </c>
      <c r="K756" s="8">
        <v>6610</v>
      </c>
      <c r="L756" s="7" t="s">
        <v>1276</v>
      </c>
      <c r="M756" s="8">
        <v>105</v>
      </c>
      <c r="N756" s="7" t="s">
        <v>1277</v>
      </c>
      <c r="O756" s="7" t="s">
        <v>96</v>
      </c>
      <c r="P756" s="7" t="s">
        <v>2197</v>
      </c>
      <c r="Q756" s="8" t="s">
        <v>182</v>
      </c>
      <c r="R756" s="7" t="s">
        <v>33</v>
      </c>
      <c r="S756" s="7" t="s">
        <v>34</v>
      </c>
      <c r="T756" s="10">
        <v>0</v>
      </c>
      <c r="U756" s="7"/>
      <c r="V756" s="10">
        <v>0</v>
      </c>
      <c r="W756" s="7" t="s">
        <v>48</v>
      </c>
      <c r="X756" s="10" t="s">
        <v>65</v>
      </c>
      <c r="Y756" s="7" t="s">
        <v>59</v>
      </c>
    </row>
    <row x14ac:dyDescent="0.25" r="757" customHeight="1" ht="18.75">
      <c r="A757" s="11">
        <v>74220834</v>
      </c>
      <c r="B757" s="12">
        <v>1946</v>
      </c>
      <c r="C757" s="13" t="s">
        <v>3608</v>
      </c>
      <c r="D757" s="13" t="s">
        <v>3609</v>
      </c>
      <c r="E757" s="14">
        <v>74320834</v>
      </c>
      <c r="F757" s="14">
        <v>1946</v>
      </c>
      <c r="G757" s="13" t="s">
        <v>27</v>
      </c>
      <c r="H757" s="13" t="s">
        <v>3610</v>
      </c>
      <c r="I757" s="13" t="s">
        <v>3611</v>
      </c>
      <c r="J757" s="14">
        <f>74952408424</f>
      </c>
      <c r="K757" s="14">
        <v>6378</v>
      </c>
      <c r="L757" s="13" t="s">
        <v>1276</v>
      </c>
      <c r="M757" s="14">
        <v>105</v>
      </c>
      <c r="N757" s="13" t="s">
        <v>1277</v>
      </c>
      <c r="O757" s="13" t="s">
        <v>73</v>
      </c>
      <c r="P757" s="13" t="s">
        <v>3612</v>
      </c>
      <c r="Q757" s="14" t="s">
        <v>1533</v>
      </c>
      <c r="R757" s="13" t="s">
        <v>33</v>
      </c>
      <c r="S757" s="13" t="s">
        <v>34</v>
      </c>
      <c r="T757" s="15">
        <v>0</v>
      </c>
      <c r="U757" s="13"/>
      <c r="V757" s="15">
        <v>0</v>
      </c>
      <c r="W757" s="13" t="s">
        <v>48</v>
      </c>
      <c r="X757" s="15" t="s">
        <v>65</v>
      </c>
      <c r="Y757" s="13" t="s">
        <v>126</v>
      </c>
    </row>
    <row x14ac:dyDescent="0.25" r="758" customHeight="1" ht="18.75">
      <c r="A758" s="5">
        <v>74220887</v>
      </c>
      <c r="B758" s="6">
        <v>1947</v>
      </c>
      <c r="C758" s="7" t="s">
        <v>3613</v>
      </c>
      <c r="D758" s="7" t="s">
        <v>3614</v>
      </c>
      <c r="E758" s="8">
        <v>74320887</v>
      </c>
      <c r="F758" s="8">
        <v>1947</v>
      </c>
      <c r="G758" s="7" t="s">
        <v>27</v>
      </c>
      <c r="H758" s="7" t="s">
        <v>3615</v>
      </c>
      <c r="I758" s="7" t="s">
        <v>3616</v>
      </c>
      <c r="J758" s="8">
        <f>74952408424</f>
      </c>
      <c r="K758" s="8">
        <v>6428</v>
      </c>
      <c r="L758" s="7" t="s">
        <v>1276</v>
      </c>
      <c r="M758" s="8">
        <v>105</v>
      </c>
      <c r="N758" s="7" t="s">
        <v>1277</v>
      </c>
      <c r="O758" s="7" t="s">
        <v>73</v>
      </c>
      <c r="P758" s="7" t="s">
        <v>1872</v>
      </c>
      <c r="Q758" s="8" t="s">
        <v>3617</v>
      </c>
      <c r="R758" s="7" t="s">
        <v>33</v>
      </c>
      <c r="S758" s="7" t="s">
        <v>34</v>
      </c>
      <c r="T758" s="10">
        <v>0</v>
      </c>
      <c r="U758" s="7"/>
      <c r="V758" s="10">
        <v>0</v>
      </c>
      <c r="W758" s="7" t="s">
        <v>48</v>
      </c>
      <c r="X758" s="10" t="s">
        <v>36</v>
      </c>
      <c r="Y758" s="7" t="s">
        <v>126</v>
      </c>
    </row>
    <row x14ac:dyDescent="0.25" r="759" customHeight="1" ht="18.75">
      <c r="A759" s="11">
        <v>74220934</v>
      </c>
      <c r="B759" s="12">
        <v>1948</v>
      </c>
      <c r="C759" s="13" t="s">
        <v>3618</v>
      </c>
      <c r="D759" s="13" t="s">
        <v>3619</v>
      </c>
      <c r="E759" s="14">
        <v>74320934</v>
      </c>
      <c r="F759" s="14">
        <v>1948</v>
      </c>
      <c r="G759" s="13" t="s">
        <v>27</v>
      </c>
      <c r="H759" s="13" t="s">
        <v>3620</v>
      </c>
      <c r="I759" s="13" t="s">
        <v>3621</v>
      </c>
      <c r="J759" s="14">
        <f>74952408424</f>
      </c>
      <c r="K759" s="14">
        <v>6178</v>
      </c>
      <c r="L759" s="13" t="s">
        <v>1276</v>
      </c>
      <c r="M759" s="14">
        <v>105</v>
      </c>
      <c r="N759" s="13" t="s">
        <v>1277</v>
      </c>
      <c r="O759" s="13" t="s">
        <v>82</v>
      </c>
      <c r="P759" s="13" t="s">
        <v>2100</v>
      </c>
      <c r="Q759" s="14" t="s">
        <v>3622</v>
      </c>
      <c r="R759" s="13" t="s">
        <v>33</v>
      </c>
      <c r="S759" s="13" t="s">
        <v>34</v>
      </c>
      <c r="T759" s="15">
        <v>0</v>
      </c>
      <c r="U759" s="13"/>
      <c r="V759" s="15">
        <v>0</v>
      </c>
      <c r="W759" s="13" t="s">
        <v>48</v>
      </c>
      <c r="X759" s="15" t="s">
        <v>65</v>
      </c>
      <c r="Y759" s="13" t="s">
        <v>126</v>
      </c>
    </row>
    <row x14ac:dyDescent="0.25" r="760" customHeight="1" ht="18.75">
      <c r="A760" s="5">
        <v>74220990</v>
      </c>
      <c r="B760" s="6">
        <v>1949</v>
      </c>
      <c r="C760" s="7" t="s">
        <v>3623</v>
      </c>
      <c r="D760" s="7" t="s">
        <v>3624</v>
      </c>
      <c r="E760" s="8">
        <v>74320990</v>
      </c>
      <c r="F760" s="8">
        <v>1949</v>
      </c>
      <c r="G760" s="7" t="s">
        <v>27</v>
      </c>
      <c r="H760" s="7" t="s">
        <v>3625</v>
      </c>
      <c r="I760" s="7" t="s">
        <v>3626</v>
      </c>
      <c r="J760" s="8">
        <f>74952408424</f>
      </c>
      <c r="K760" s="8">
        <v>6862</v>
      </c>
      <c r="L760" s="7" t="s">
        <v>1276</v>
      </c>
      <c r="M760" s="8">
        <v>105</v>
      </c>
      <c r="N760" s="7" t="s">
        <v>1277</v>
      </c>
      <c r="O760" s="7" t="s">
        <v>73</v>
      </c>
      <c r="P760" s="7" t="s">
        <v>3193</v>
      </c>
      <c r="Q760" s="8" t="s">
        <v>112</v>
      </c>
      <c r="R760" s="7" t="s">
        <v>33</v>
      </c>
      <c r="S760" s="7" t="s">
        <v>34</v>
      </c>
      <c r="T760" s="10">
        <v>0</v>
      </c>
      <c r="U760" s="7"/>
      <c r="V760" s="10">
        <v>0</v>
      </c>
      <c r="W760" s="7" t="s">
        <v>48</v>
      </c>
      <c r="X760" s="10" t="s">
        <v>36</v>
      </c>
      <c r="Y760" s="7" t="s">
        <v>126</v>
      </c>
    </row>
    <row x14ac:dyDescent="0.25" r="761" customHeight="1" ht="18.75">
      <c r="A761" s="11">
        <v>74221036</v>
      </c>
      <c r="B761" s="12">
        <v>1950</v>
      </c>
      <c r="C761" s="13" t="s">
        <v>3627</v>
      </c>
      <c r="D761" s="13" t="s">
        <v>3628</v>
      </c>
      <c r="E761" s="14">
        <v>74321036</v>
      </c>
      <c r="F761" s="14">
        <v>1950</v>
      </c>
      <c r="G761" s="13" t="s">
        <v>27</v>
      </c>
      <c r="H761" s="13" t="s">
        <v>3629</v>
      </c>
      <c r="I761" s="13" t="s">
        <v>3630</v>
      </c>
      <c r="J761" s="14">
        <f>74952408424</f>
      </c>
      <c r="K761" s="14">
        <v>6956</v>
      </c>
      <c r="L761" s="13" t="s">
        <v>1276</v>
      </c>
      <c r="M761" s="14">
        <v>105</v>
      </c>
      <c r="N761" s="13" t="s">
        <v>1277</v>
      </c>
      <c r="O761" s="13" t="s">
        <v>82</v>
      </c>
      <c r="P761" s="13" t="s">
        <v>3631</v>
      </c>
      <c r="Q761" s="14" t="s">
        <v>3632</v>
      </c>
      <c r="R761" s="13" t="s">
        <v>33</v>
      </c>
      <c r="S761" s="13" t="s">
        <v>34</v>
      </c>
      <c r="T761" s="15">
        <v>0</v>
      </c>
      <c r="U761" s="13"/>
      <c r="V761" s="15">
        <v>0</v>
      </c>
      <c r="W761" s="13" t="s">
        <v>48</v>
      </c>
      <c r="X761" s="15" t="s">
        <v>65</v>
      </c>
      <c r="Y761" s="13" t="s">
        <v>126</v>
      </c>
    </row>
    <row x14ac:dyDescent="0.25" r="762" customHeight="1" ht="18.75">
      <c r="A762" s="5">
        <v>74221041</v>
      </c>
      <c r="B762" s="6">
        <v>1951</v>
      </c>
      <c r="C762" s="7" t="s">
        <v>3633</v>
      </c>
      <c r="D762" s="7" t="s">
        <v>3634</v>
      </c>
      <c r="E762" s="8">
        <v>74321041</v>
      </c>
      <c r="F762" s="8">
        <v>1951</v>
      </c>
      <c r="G762" s="7" t="s">
        <v>27</v>
      </c>
      <c r="H762" s="7" t="s">
        <v>3635</v>
      </c>
      <c r="I762" s="7" t="s">
        <v>3636</v>
      </c>
      <c r="J762" s="8">
        <f>74952408424</f>
      </c>
      <c r="K762" s="8">
        <v>6276</v>
      </c>
      <c r="L762" s="7" t="s">
        <v>1276</v>
      </c>
      <c r="M762" s="8">
        <v>105</v>
      </c>
      <c r="N762" s="7" t="s">
        <v>1277</v>
      </c>
      <c r="O762" s="7" t="s">
        <v>96</v>
      </c>
      <c r="P762" s="7" t="s">
        <v>1799</v>
      </c>
      <c r="Q762" s="8" t="s">
        <v>182</v>
      </c>
      <c r="R762" s="7" t="s">
        <v>33</v>
      </c>
      <c r="S762" s="7" t="s">
        <v>34</v>
      </c>
      <c r="T762" s="10">
        <v>0</v>
      </c>
      <c r="U762" s="7"/>
      <c r="V762" s="10">
        <v>0</v>
      </c>
      <c r="W762" s="7" t="s">
        <v>48</v>
      </c>
      <c r="X762" s="10" t="s">
        <v>36</v>
      </c>
      <c r="Y762" s="7" t="s">
        <v>84</v>
      </c>
    </row>
    <row x14ac:dyDescent="0.25" r="763" customHeight="1" ht="18.75">
      <c r="A763" s="11">
        <v>74221047</v>
      </c>
      <c r="B763" s="12">
        <v>1952</v>
      </c>
      <c r="C763" s="13" t="s">
        <v>3637</v>
      </c>
      <c r="D763" s="13" t="s">
        <v>3638</v>
      </c>
      <c r="E763" s="14">
        <v>74321047</v>
      </c>
      <c r="F763" s="14">
        <v>1952</v>
      </c>
      <c r="G763" s="13" t="s">
        <v>27</v>
      </c>
      <c r="H763" s="13" t="s">
        <v>3639</v>
      </c>
      <c r="I763" s="13" t="s">
        <v>3640</v>
      </c>
      <c r="J763" s="14">
        <f>74952408424</f>
      </c>
      <c r="K763" s="14">
        <v>6144</v>
      </c>
      <c r="L763" s="13" t="s">
        <v>1276</v>
      </c>
      <c r="M763" s="14">
        <v>105</v>
      </c>
      <c r="N763" s="13" t="s">
        <v>1277</v>
      </c>
      <c r="O763" s="13" t="s">
        <v>82</v>
      </c>
      <c r="P763" s="13" t="s">
        <v>268</v>
      </c>
      <c r="Q763" s="14" t="s">
        <v>58</v>
      </c>
      <c r="R763" s="13" t="s">
        <v>33</v>
      </c>
      <c r="S763" s="13" t="s">
        <v>34</v>
      </c>
      <c r="T763" s="15">
        <v>0</v>
      </c>
      <c r="U763" s="13"/>
      <c r="V763" s="15">
        <v>0</v>
      </c>
      <c r="W763" s="13" t="s">
        <v>48</v>
      </c>
      <c r="X763" s="15" t="s">
        <v>36</v>
      </c>
      <c r="Y763" s="13" t="s">
        <v>59</v>
      </c>
    </row>
    <row x14ac:dyDescent="0.25" r="764" customHeight="1" ht="18.75">
      <c r="A764" s="5">
        <v>74221080</v>
      </c>
      <c r="B764" s="6">
        <v>1953</v>
      </c>
      <c r="C764" s="7" t="s">
        <v>3641</v>
      </c>
      <c r="D764" s="7" t="s">
        <v>3642</v>
      </c>
      <c r="E764" s="8">
        <v>74321080</v>
      </c>
      <c r="F764" s="8">
        <v>1953</v>
      </c>
      <c r="G764" s="7" t="s">
        <v>27</v>
      </c>
      <c r="H764" s="7" t="s">
        <v>3643</v>
      </c>
      <c r="I764" s="7" t="s">
        <v>3644</v>
      </c>
      <c r="J764" s="8">
        <f>74952408424</f>
      </c>
      <c r="K764" s="8">
        <v>6970</v>
      </c>
      <c r="L764" s="7" t="s">
        <v>1276</v>
      </c>
      <c r="M764" s="8">
        <v>105</v>
      </c>
      <c r="N764" s="7" t="s">
        <v>1277</v>
      </c>
      <c r="O764" s="7" t="s">
        <v>32</v>
      </c>
      <c r="P764" s="7" t="s">
        <v>32</v>
      </c>
      <c r="Q764" s="8" t="s">
        <v>58</v>
      </c>
      <c r="R764" s="7" t="s">
        <v>33</v>
      </c>
      <c r="S764" s="7" t="s">
        <v>34</v>
      </c>
      <c r="T764" s="10">
        <v>0</v>
      </c>
      <c r="U764" s="7"/>
      <c r="V764" s="10">
        <v>0</v>
      </c>
      <c r="W764" s="7" t="s">
        <v>48</v>
      </c>
      <c r="X764" s="10" t="s">
        <v>36</v>
      </c>
      <c r="Y764" s="7" t="s">
        <v>84</v>
      </c>
    </row>
    <row x14ac:dyDescent="0.25" r="765" customHeight="1" ht="18.75">
      <c r="A765" s="11">
        <v>74221123</v>
      </c>
      <c r="B765" s="12">
        <v>1954</v>
      </c>
      <c r="C765" s="13" t="s">
        <v>3645</v>
      </c>
      <c r="D765" s="13" t="s">
        <v>3646</v>
      </c>
      <c r="E765" s="14">
        <v>74321123</v>
      </c>
      <c r="F765" s="14">
        <v>1954</v>
      </c>
      <c r="G765" s="13" t="s">
        <v>27</v>
      </c>
      <c r="H765" s="13" t="s">
        <v>3647</v>
      </c>
      <c r="I765" s="13" t="s">
        <v>3648</v>
      </c>
      <c r="J765" s="14">
        <f>74952408424</f>
      </c>
      <c r="K765" s="14">
        <v>6534</v>
      </c>
      <c r="L765" s="13" t="s">
        <v>1276</v>
      </c>
      <c r="M765" s="14">
        <v>105</v>
      </c>
      <c r="N765" s="13" t="s">
        <v>1277</v>
      </c>
      <c r="O765" s="13" t="s">
        <v>44</v>
      </c>
      <c r="P765" s="13" t="s">
        <v>2998</v>
      </c>
      <c r="Q765" s="14" t="s">
        <v>58</v>
      </c>
      <c r="R765" s="13" t="s">
        <v>33</v>
      </c>
      <c r="S765" s="13" t="s">
        <v>34</v>
      </c>
      <c r="T765" s="15">
        <v>0</v>
      </c>
      <c r="U765" s="13"/>
      <c r="V765" s="15">
        <v>0</v>
      </c>
      <c r="W765" s="13" t="s">
        <v>48</v>
      </c>
      <c r="X765" s="15" t="s">
        <v>65</v>
      </c>
      <c r="Y765" s="13" t="s">
        <v>126</v>
      </c>
    </row>
    <row x14ac:dyDescent="0.25" r="766" customHeight="1" ht="18.75">
      <c r="A766" s="5">
        <v>74221142</v>
      </c>
      <c r="B766" s="6">
        <v>1955</v>
      </c>
      <c r="C766" s="7" t="s">
        <v>3649</v>
      </c>
      <c r="D766" s="7" t="s">
        <v>3650</v>
      </c>
      <c r="E766" s="8">
        <v>74321142</v>
      </c>
      <c r="F766" s="8">
        <v>1955</v>
      </c>
      <c r="G766" s="7" t="s">
        <v>27</v>
      </c>
      <c r="H766" s="7" t="s">
        <v>3651</v>
      </c>
      <c r="I766" s="7" t="s">
        <v>3652</v>
      </c>
      <c r="J766" s="8">
        <f>74952408424</f>
      </c>
      <c r="K766" s="8">
        <v>6860</v>
      </c>
      <c r="L766" s="7" t="s">
        <v>1276</v>
      </c>
      <c r="M766" s="8">
        <v>105</v>
      </c>
      <c r="N766" s="7" t="s">
        <v>1277</v>
      </c>
      <c r="O766" s="7" t="s">
        <v>73</v>
      </c>
      <c r="P766" s="7" t="s">
        <v>3193</v>
      </c>
      <c r="Q766" s="8" t="s">
        <v>112</v>
      </c>
      <c r="R766" s="7" t="s">
        <v>33</v>
      </c>
      <c r="S766" s="7" t="s">
        <v>34</v>
      </c>
      <c r="T766" s="10">
        <v>0</v>
      </c>
      <c r="U766" s="7"/>
      <c r="V766" s="10">
        <v>0</v>
      </c>
      <c r="W766" s="7" t="s">
        <v>48</v>
      </c>
      <c r="X766" s="10" t="s">
        <v>36</v>
      </c>
      <c r="Y766" s="7" t="s">
        <v>126</v>
      </c>
    </row>
    <row x14ac:dyDescent="0.25" r="767" customHeight="1" ht="18.75">
      <c r="A767" s="11">
        <v>74221173</v>
      </c>
      <c r="B767" s="12">
        <v>1956</v>
      </c>
      <c r="C767" s="13" t="s">
        <v>3653</v>
      </c>
      <c r="D767" s="13" t="s">
        <v>3654</v>
      </c>
      <c r="E767" s="14">
        <v>74321173</v>
      </c>
      <c r="F767" s="14">
        <v>1956</v>
      </c>
      <c r="G767" s="13" t="s">
        <v>27</v>
      </c>
      <c r="H767" s="13" t="s">
        <v>3655</v>
      </c>
      <c r="I767" s="13" t="s">
        <v>3656</v>
      </c>
      <c r="J767" s="14">
        <f>74952408424</f>
      </c>
      <c r="K767" s="14">
        <v>6028</v>
      </c>
      <c r="L767" s="13" t="s">
        <v>1276</v>
      </c>
      <c r="M767" s="14">
        <v>105</v>
      </c>
      <c r="N767" s="13" t="s">
        <v>1277</v>
      </c>
      <c r="O767" s="13" t="s">
        <v>82</v>
      </c>
      <c r="P767" s="13" t="s">
        <v>3657</v>
      </c>
      <c r="Q767" s="14" t="s">
        <v>58</v>
      </c>
      <c r="R767" s="13" t="s">
        <v>33</v>
      </c>
      <c r="S767" s="13" t="s">
        <v>34</v>
      </c>
      <c r="T767" s="15">
        <v>0</v>
      </c>
      <c r="U767" s="13"/>
      <c r="V767" s="15">
        <v>0</v>
      </c>
      <c r="W767" s="13" t="s">
        <v>48</v>
      </c>
      <c r="X767" s="15" t="s">
        <v>65</v>
      </c>
      <c r="Y767" s="13" t="s">
        <v>37</v>
      </c>
    </row>
    <row x14ac:dyDescent="0.25" r="768" customHeight="1" ht="18.75">
      <c r="A768" s="5">
        <v>74221175</v>
      </c>
      <c r="B768" s="6">
        <v>1957</v>
      </c>
      <c r="C768" s="7" t="s">
        <v>3658</v>
      </c>
      <c r="D768" s="7" t="s">
        <v>3659</v>
      </c>
      <c r="E768" s="8">
        <v>74321175</v>
      </c>
      <c r="F768" s="8">
        <v>1957</v>
      </c>
      <c r="G768" s="7" t="s">
        <v>27</v>
      </c>
      <c r="H768" s="7" t="s">
        <v>3660</v>
      </c>
      <c r="I768" s="7" t="s">
        <v>3661</v>
      </c>
      <c r="J768" s="8">
        <f>74952408424</f>
      </c>
      <c r="K768" s="8">
        <v>6188</v>
      </c>
      <c r="L768" s="7" t="s">
        <v>1276</v>
      </c>
      <c r="M768" s="8">
        <v>105</v>
      </c>
      <c r="N768" s="7" t="s">
        <v>1277</v>
      </c>
      <c r="O768" s="7" t="s">
        <v>82</v>
      </c>
      <c r="P768" s="7" t="s">
        <v>1324</v>
      </c>
      <c r="Q768" s="8" t="s">
        <v>58</v>
      </c>
      <c r="R768" s="7" t="s">
        <v>33</v>
      </c>
      <c r="S768" s="7" t="s">
        <v>34</v>
      </c>
      <c r="T768" s="10">
        <v>0</v>
      </c>
      <c r="U768" s="7"/>
      <c r="V768" s="10">
        <v>0</v>
      </c>
      <c r="W768" s="7" t="s">
        <v>48</v>
      </c>
      <c r="X768" s="10" t="s">
        <v>65</v>
      </c>
      <c r="Y768" s="7" t="s">
        <v>37</v>
      </c>
    </row>
    <row x14ac:dyDescent="0.25" r="769" customHeight="1" ht="18.75">
      <c r="A769" s="11">
        <v>74221176</v>
      </c>
      <c r="B769" s="12">
        <v>1958</v>
      </c>
      <c r="C769" s="13" t="s">
        <v>3662</v>
      </c>
      <c r="D769" s="13" t="s">
        <v>3663</v>
      </c>
      <c r="E769" s="14">
        <v>74321176</v>
      </c>
      <c r="F769" s="14">
        <v>1958</v>
      </c>
      <c r="G769" s="13" t="s">
        <v>27</v>
      </c>
      <c r="H769" s="13" t="s">
        <v>3664</v>
      </c>
      <c r="I769" s="13" t="s">
        <v>3665</v>
      </c>
      <c r="J769" s="14">
        <f>74952408424</f>
      </c>
      <c r="K769" s="14">
        <v>6190</v>
      </c>
      <c r="L769" s="13" t="s">
        <v>1276</v>
      </c>
      <c r="M769" s="14">
        <v>105</v>
      </c>
      <c r="N769" s="13" t="s">
        <v>1277</v>
      </c>
      <c r="O769" s="13" t="s">
        <v>82</v>
      </c>
      <c r="P769" s="13" t="s">
        <v>3666</v>
      </c>
      <c r="Q769" s="14" t="s">
        <v>58</v>
      </c>
      <c r="R769" s="13" t="s">
        <v>33</v>
      </c>
      <c r="S769" s="13" t="s">
        <v>34</v>
      </c>
      <c r="T769" s="15">
        <v>0</v>
      </c>
      <c r="U769" s="13"/>
      <c r="V769" s="15">
        <v>0</v>
      </c>
      <c r="W769" s="13" t="s">
        <v>48</v>
      </c>
      <c r="X769" s="15" t="s">
        <v>65</v>
      </c>
      <c r="Y769" s="13" t="s">
        <v>37</v>
      </c>
    </row>
    <row x14ac:dyDescent="0.25" r="770" customHeight="1" ht="18.75">
      <c r="A770" s="5">
        <v>74221185</v>
      </c>
      <c r="B770" s="6">
        <v>1959</v>
      </c>
      <c r="C770" s="7" t="s">
        <v>3667</v>
      </c>
      <c r="D770" s="7" t="s">
        <v>3668</v>
      </c>
      <c r="E770" s="8">
        <v>74321185</v>
      </c>
      <c r="F770" s="8">
        <v>1959</v>
      </c>
      <c r="G770" s="7" t="s">
        <v>27</v>
      </c>
      <c r="H770" s="7" t="s">
        <v>3669</v>
      </c>
      <c r="I770" s="7" t="s">
        <v>3670</v>
      </c>
      <c r="J770" s="8">
        <f>74952408424</f>
      </c>
      <c r="K770" s="8">
        <v>6326</v>
      </c>
      <c r="L770" s="7" t="s">
        <v>1276</v>
      </c>
      <c r="M770" s="8">
        <v>105</v>
      </c>
      <c r="N770" s="7" t="s">
        <v>1277</v>
      </c>
      <c r="O770" s="7" t="s">
        <v>73</v>
      </c>
      <c r="P770" s="7" t="s">
        <v>1872</v>
      </c>
      <c r="Q770" s="8" t="s">
        <v>1742</v>
      </c>
      <c r="R770" s="7" t="s">
        <v>33</v>
      </c>
      <c r="S770" s="7" t="s">
        <v>34</v>
      </c>
      <c r="T770" s="10">
        <v>0</v>
      </c>
      <c r="U770" s="7"/>
      <c r="V770" s="10">
        <v>0</v>
      </c>
      <c r="W770" s="7" t="s">
        <v>48</v>
      </c>
      <c r="X770" s="10" t="s">
        <v>36</v>
      </c>
      <c r="Y770" s="7" t="s">
        <v>37</v>
      </c>
    </row>
    <row x14ac:dyDescent="0.25" r="771" customHeight="1" ht="18.75">
      <c r="A771" s="11">
        <v>74221225</v>
      </c>
      <c r="B771" s="12">
        <v>1960</v>
      </c>
      <c r="C771" s="13" t="s">
        <v>3671</v>
      </c>
      <c r="D771" s="13" t="s">
        <v>3672</v>
      </c>
      <c r="E771" s="14">
        <v>74321225</v>
      </c>
      <c r="F771" s="14">
        <v>1960</v>
      </c>
      <c r="G771" s="13" t="s">
        <v>27</v>
      </c>
      <c r="H771" s="13" t="s">
        <v>3673</v>
      </c>
      <c r="I771" s="13" t="s">
        <v>3674</v>
      </c>
      <c r="J771" s="14">
        <f>74952408424</f>
      </c>
      <c r="K771" s="14">
        <v>6972</v>
      </c>
      <c r="L771" s="13" t="s">
        <v>1276</v>
      </c>
      <c r="M771" s="14">
        <v>105</v>
      </c>
      <c r="N771" s="13" t="s">
        <v>1277</v>
      </c>
      <c r="O771" s="13" t="s">
        <v>82</v>
      </c>
      <c r="P771" s="13" t="s">
        <v>3278</v>
      </c>
      <c r="Q771" s="14" t="s">
        <v>58</v>
      </c>
      <c r="R771" s="13" t="s">
        <v>33</v>
      </c>
      <c r="S771" s="13" t="s">
        <v>34</v>
      </c>
      <c r="T771" s="15">
        <v>0</v>
      </c>
      <c r="U771" s="13"/>
      <c r="V771" s="15">
        <v>0</v>
      </c>
      <c r="W771" s="13" t="s">
        <v>48</v>
      </c>
      <c r="X771" s="15" t="s">
        <v>65</v>
      </c>
      <c r="Y771" s="13" t="s">
        <v>126</v>
      </c>
    </row>
    <row x14ac:dyDescent="0.25" r="772" customHeight="1" ht="18.75">
      <c r="A772" s="5">
        <v>74221227</v>
      </c>
      <c r="B772" s="6">
        <v>1961</v>
      </c>
      <c r="C772" s="7" t="s">
        <v>3675</v>
      </c>
      <c r="D772" s="7" t="s">
        <v>3676</v>
      </c>
      <c r="E772" s="8">
        <v>74321227</v>
      </c>
      <c r="F772" s="8">
        <v>1961</v>
      </c>
      <c r="G772" s="7" t="s">
        <v>27</v>
      </c>
      <c r="H772" s="7" t="s">
        <v>3677</v>
      </c>
      <c r="I772" s="7" t="s">
        <v>3678</v>
      </c>
      <c r="J772" s="8">
        <f>74952408424</f>
      </c>
      <c r="K772" s="8">
        <v>6968</v>
      </c>
      <c r="L772" s="7" t="s">
        <v>1276</v>
      </c>
      <c r="M772" s="8">
        <v>105</v>
      </c>
      <c r="N772" s="7" t="s">
        <v>1277</v>
      </c>
      <c r="O772" s="7" t="s">
        <v>82</v>
      </c>
      <c r="P772" s="7" t="s">
        <v>3679</v>
      </c>
      <c r="Q772" s="8" t="s">
        <v>58</v>
      </c>
      <c r="R772" s="7" t="s">
        <v>33</v>
      </c>
      <c r="S772" s="7" t="s">
        <v>34</v>
      </c>
      <c r="T772" s="10">
        <v>0</v>
      </c>
      <c r="U772" s="7"/>
      <c r="V772" s="10">
        <v>0</v>
      </c>
      <c r="W772" s="7" t="s">
        <v>48</v>
      </c>
      <c r="X772" s="10" t="s">
        <v>36</v>
      </c>
      <c r="Y772" s="7" t="s">
        <v>37</v>
      </c>
    </row>
    <row x14ac:dyDescent="0.25" r="773" customHeight="1" ht="18.75">
      <c r="A773" s="11">
        <v>74221158</v>
      </c>
      <c r="B773" s="12">
        <v>1963</v>
      </c>
      <c r="C773" s="13" t="s">
        <v>3680</v>
      </c>
      <c r="D773" s="13" t="s">
        <v>3681</v>
      </c>
      <c r="E773" s="14">
        <v>74321158</v>
      </c>
      <c r="F773" s="14">
        <v>1963</v>
      </c>
      <c r="G773" s="13" t="s">
        <v>27</v>
      </c>
      <c r="H773" s="13" t="s">
        <v>3682</v>
      </c>
      <c r="I773" s="13" t="s">
        <v>3683</v>
      </c>
      <c r="J773" s="14">
        <f>74952408424</f>
      </c>
      <c r="K773" s="14">
        <v>6504</v>
      </c>
      <c r="L773" s="13" t="s">
        <v>1276</v>
      </c>
      <c r="M773" s="14">
        <v>105</v>
      </c>
      <c r="N773" s="13" t="s">
        <v>1277</v>
      </c>
      <c r="O773" s="13" t="s">
        <v>44</v>
      </c>
      <c r="P773" s="13" t="s">
        <v>2876</v>
      </c>
      <c r="Q773" s="14" t="s">
        <v>58</v>
      </c>
      <c r="R773" s="13" t="s">
        <v>33</v>
      </c>
      <c r="S773" s="13" t="s">
        <v>34</v>
      </c>
      <c r="T773" s="15">
        <v>0</v>
      </c>
      <c r="U773" s="13"/>
      <c r="V773" s="15">
        <v>0</v>
      </c>
      <c r="W773" s="13" t="s">
        <v>48</v>
      </c>
      <c r="X773" s="15" t="s">
        <v>65</v>
      </c>
      <c r="Y773" s="13" t="s">
        <v>59</v>
      </c>
    </row>
    <row x14ac:dyDescent="0.25" r="774" customHeight="1" ht="18.75">
      <c r="A774" s="5">
        <v>74221254</v>
      </c>
      <c r="B774" s="6">
        <v>1964</v>
      </c>
      <c r="C774" s="7" t="s">
        <v>3684</v>
      </c>
      <c r="D774" s="7" t="s">
        <v>3685</v>
      </c>
      <c r="E774" s="8">
        <v>74321254</v>
      </c>
      <c r="F774" s="8">
        <v>1964</v>
      </c>
      <c r="G774" s="7" t="s">
        <v>27</v>
      </c>
      <c r="H774" s="7" t="s">
        <v>3686</v>
      </c>
      <c r="I774" s="7" t="s">
        <v>3687</v>
      </c>
      <c r="J774" s="8">
        <f>74952408424</f>
      </c>
      <c r="K774" s="8">
        <v>6332</v>
      </c>
      <c r="L774" s="7" t="s">
        <v>1276</v>
      </c>
      <c r="M774" s="8">
        <v>105</v>
      </c>
      <c r="N774" s="7" t="s">
        <v>1277</v>
      </c>
      <c r="O774" s="7" t="s">
        <v>73</v>
      </c>
      <c r="P774" s="7" t="s">
        <v>1872</v>
      </c>
      <c r="Q774" s="8" t="s">
        <v>3688</v>
      </c>
      <c r="R774" s="7" t="s">
        <v>33</v>
      </c>
      <c r="S774" s="7" t="s">
        <v>47</v>
      </c>
      <c r="T774" s="10">
        <v>2</v>
      </c>
      <c r="U774" s="7"/>
      <c r="V774" s="10">
        <v>0</v>
      </c>
      <c r="W774" s="7" t="s">
        <v>48</v>
      </c>
      <c r="X774" s="10" t="s">
        <v>36</v>
      </c>
      <c r="Y774" s="7" t="s">
        <v>37</v>
      </c>
    </row>
    <row x14ac:dyDescent="0.25" r="775" customHeight="1" ht="18.75">
      <c r="A775" s="11">
        <v>74221255</v>
      </c>
      <c r="B775" s="12">
        <v>1965</v>
      </c>
      <c r="C775" s="13" t="s">
        <v>3689</v>
      </c>
      <c r="D775" s="13" t="s">
        <v>3690</v>
      </c>
      <c r="E775" s="14">
        <v>74321255</v>
      </c>
      <c r="F775" s="14">
        <v>1965</v>
      </c>
      <c r="G775" s="13" t="s">
        <v>27</v>
      </c>
      <c r="H775" s="13" t="s">
        <v>3691</v>
      </c>
      <c r="I775" s="13" t="s">
        <v>3692</v>
      </c>
      <c r="J775" s="14">
        <f>74952408424</f>
      </c>
      <c r="K775" s="14">
        <v>6278</v>
      </c>
      <c r="L775" s="13" t="s">
        <v>1276</v>
      </c>
      <c r="M775" s="14">
        <v>105</v>
      </c>
      <c r="N775" s="13" t="s">
        <v>1277</v>
      </c>
      <c r="O775" s="13" t="s">
        <v>96</v>
      </c>
      <c r="P775" s="13" t="s">
        <v>1799</v>
      </c>
      <c r="Q775" s="14" t="s">
        <v>3693</v>
      </c>
      <c r="R775" s="13" t="s">
        <v>33</v>
      </c>
      <c r="S775" s="13" t="s">
        <v>34</v>
      </c>
      <c r="T775" s="15">
        <v>0</v>
      </c>
      <c r="U775" s="13"/>
      <c r="V775" s="15">
        <v>0</v>
      </c>
      <c r="W775" s="13" t="s">
        <v>48</v>
      </c>
      <c r="X775" s="15" t="s">
        <v>36</v>
      </c>
      <c r="Y775" s="13" t="s">
        <v>84</v>
      </c>
    </row>
    <row x14ac:dyDescent="0.25" r="776" customHeight="1" ht="18.75">
      <c r="A776" s="5">
        <v>74221258</v>
      </c>
      <c r="B776" s="6">
        <v>1966</v>
      </c>
      <c r="C776" s="7" t="s">
        <v>3694</v>
      </c>
      <c r="D776" s="7" t="s">
        <v>3695</v>
      </c>
      <c r="E776" s="8">
        <v>74321258</v>
      </c>
      <c r="F776" s="8">
        <v>1966</v>
      </c>
      <c r="G776" s="7" t="s">
        <v>27</v>
      </c>
      <c r="H776" s="7" t="s">
        <v>3696</v>
      </c>
      <c r="I776" s="7" t="s">
        <v>3697</v>
      </c>
      <c r="J776" s="8">
        <f>74952408424</f>
      </c>
      <c r="K776" s="8">
        <v>6532</v>
      </c>
      <c r="L776" s="7" t="s">
        <v>1276</v>
      </c>
      <c r="M776" s="8">
        <v>105</v>
      </c>
      <c r="N776" s="7" t="s">
        <v>1277</v>
      </c>
      <c r="O776" s="7" t="s">
        <v>44</v>
      </c>
      <c r="P776" s="7" t="s">
        <v>2876</v>
      </c>
      <c r="Q776" s="8" t="s">
        <v>58</v>
      </c>
      <c r="R776" s="7" t="s">
        <v>33</v>
      </c>
      <c r="S776" s="7" t="s">
        <v>47</v>
      </c>
      <c r="T776" s="10">
        <v>1</v>
      </c>
      <c r="U776" s="7"/>
      <c r="V776" s="10">
        <v>0</v>
      </c>
      <c r="W776" s="7" t="s">
        <v>48</v>
      </c>
      <c r="X776" s="10" t="s">
        <v>65</v>
      </c>
      <c r="Y776" s="7" t="s">
        <v>59</v>
      </c>
    </row>
    <row x14ac:dyDescent="0.25" r="777" customHeight="1" ht="18.75">
      <c r="A777" s="11">
        <v>74221267</v>
      </c>
      <c r="B777" s="12">
        <v>1967</v>
      </c>
      <c r="C777" s="13" t="s">
        <v>3698</v>
      </c>
      <c r="D777" s="13" t="s">
        <v>3699</v>
      </c>
      <c r="E777" s="14">
        <v>74321267</v>
      </c>
      <c r="F777" s="14">
        <v>1967</v>
      </c>
      <c r="G777" s="13" t="s">
        <v>27</v>
      </c>
      <c r="H777" s="13" t="s">
        <v>3700</v>
      </c>
      <c r="I777" s="13" t="s">
        <v>3701</v>
      </c>
      <c r="J777" s="14">
        <f>74952408424</f>
      </c>
      <c r="K777" s="14">
        <v>6318</v>
      </c>
      <c r="L777" s="13" t="s">
        <v>1276</v>
      </c>
      <c r="M777" s="14">
        <v>105</v>
      </c>
      <c r="N777" s="13" t="s">
        <v>1277</v>
      </c>
      <c r="O777" s="13" t="s">
        <v>73</v>
      </c>
      <c r="P777" s="13" t="s">
        <v>1872</v>
      </c>
      <c r="Q777" s="14" t="s">
        <v>1601</v>
      </c>
      <c r="R777" s="13" t="s">
        <v>33</v>
      </c>
      <c r="S777" s="13" t="s">
        <v>34</v>
      </c>
      <c r="T777" s="15">
        <v>0</v>
      </c>
      <c r="U777" s="13"/>
      <c r="V777" s="15">
        <v>0</v>
      </c>
      <c r="W777" s="13" t="s">
        <v>48</v>
      </c>
      <c r="X777" s="15" t="s">
        <v>36</v>
      </c>
      <c r="Y777" s="13" t="s">
        <v>37</v>
      </c>
    </row>
    <row x14ac:dyDescent="0.25" r="778" customHeight="1" ht="18.75">
      <c r="A778" s="5">
        <v>74221272</v>
      </c>
      <c r="B778" s="6">
        <v>1968</v>
      </c>
      <c r="C778" s="7" t="s">
        <v>3702</v>
      </c>
      <c r="D778" s="7" t="s">
        <v>3703</v>
      </c>
      <c r="E778" s="8">
        <v>74321272</v>
      </c>
      <c r="F778" s="8">
        <v>1968</v>
      </c>
      <c r="G778" s="7" t="s">
        <v>27</v>
      </c>
      <c r="H778" s="7" t="s">
        <v>3704</v>
      </c>
      <c r="I778" s="7" t="s">
        <v>3705</v>
      </c>
      <c r="J778" s="8">
        <f>74952408424</f>
      </c>
      <c r="K778" s="8">
        <v>6958</v>
      </c>
      <c r="L778" s="7" t="s">
        <v>1276</v>
      </c>
      <c r="M778" s="8">
        <v>105</v>
      </c>
      <c r="N778" s="7" t="s">
        <v>1277</v>
      </c>
      <c r="O778" s="7" t="s">
        <v>82</v>
      </c>
      <c r="P778" s="7" t="s">
        <v>3706</v>
      </c>
      <c r="Q778" s="8" t="s">
        <v>58</v>
      </c>
      <c r="R778" s="7" t="s">
        <v>33</v>
      </c>
      <c r="S778" s="7" t="s">
        <v>34</v>
      </c>
      <c r="T778" s="10">
        <v>0</v>
      </c>
      <c r="U778" s="7"/>
      <c r="V778" s="10">
        <v>0</v>
      </c>
      <c r="W778" s="7" t="s">
        <v>48</v>
      </c>
      <c r="X778" s="10" t="s">
        <v>65</v>
      </c>
      <c r="Y778" s="7" t="s">
        <v>59</v>
      </c>
    </row>
    <row x14ac:dyDescent="0.25" r="779" customHeight="1" ht="18.75">
      <c r="A779" s="11">
        <v>74221286</v>
      </c>
      <c r="B779" s="12">
        <v>1969</v>
      </c>
      <c r="C779" s="13" t="s">
        <v>3707</v>
      </c>
      <c r="D779" s="13" t="s">
        <v>3708</v>
      </c>
      <c r="E779" s="14">
        <v>74321286</v>
      </c>
      <c r="F779" s="14">
        <v>1969</v>
      </c>
      <c r="G779" s="13" t="s">
        <v>27</v>
      </c>
      <c r="H779" s="13" t="s">
        <v>3709</v>
      </c>
      <c r="I779" s="13" t="s">
        <v>3710</v>
      </c>
      <c r="J779" s="14">
        <f>74952408424</f>
      </c>
      <c r="K779" s="14">
        <v>6392</v>
      </c>
      <c r="L779" s="13" t="s">
        <v>1276</v>
      </c>
      <c r="M779" s="14">
        <v>105</v>
      </c>
      <c r="N779" s="13" t="s">
        <v>1277</v>
      </c>
      <c r="O779" s="13" t="s">
        <v>73</v>
      </c>
      <c r="P779" s="13" t="s">
        <v>1532</v>
      </c>
      <c r="Q779" s="14" t="s">
        <v>1533</v>
      </c>
      <c r="R779" s="13" t="s">
        <v>33</v>
      </c>
      <c r="S779" s="13" t="s">
        <v>34</v>
      </c>
      <c r="T779" s="15">
        <v>0</v>
      </c>
      <c r="U779" s="13"/>
      <c r="V779" s="15">
        <v>0</v>
      </c>
      <c r="W779" s="13" t="s">
        <v>48</v>
      </c>
      <c r="X779" s="15" t="s">
        <v>65</v>
      </c>
      <c r="Y779" s="13" t="s">
        <v>37</v>
      </c>
    </row>
    <row x14ac:dyDescent="0.25" r="780" customHeight="1" ht="18.75">
      <c r="A780" s="5">
        <v>74221287</v>
      </c>
      <c r="B780" s="6">
        <v>1970</v>
      </c>
      <c r="C780" s="7" t="s">
        <v>3711</v>
      </c>
      <c r="D780" s="7" t="s">
        <v>3712</v>
      </c>
      <c r="E780" s="8">
        <v>74321287</v>
      </c>
      <c r="F780" s="8">
        <v>1970</v>
      </c>
      <c r="G780" s="7" t="s">
        <v>27</v>
      </c>
      <c r="H780" s="7" t="s">
        <v>3713</v>
      </c>
      <c r="I780" s="7" t="s">
        <v>3714</v>
      </c>
      <c r="J780" s="8">
        <f>74952408424</f>
      </c>
      <c r="K780" s="8">
        <v>6944</v>
      </c>
      <c r="L780" s="7" t="s">
        <v>1276</v>
      </c>
      <c r="M780" s="8">
        <v>105</v>
      </c>
      <c r="N780" s="7" t="s">
        <v>1277</v>
      </c>
      <c r="O780" s="7" t="s">
        <v>119</v>
      </c>
      <c r="P780" s="7" t="s">
        <v>3116</v>
      </c>
      <c r="Q780" s="8" t="s">
        <v>1039</v>
      </c>
      <c r="R780" s="7" t="s">
        <v>33</v>
      </c>
      <c r="S780" s="7" t="s">
        <v>34</v>
      </c>
      <c r="T780" s="10">
        <v>0</v>
      </c>
      <c r="U780" s="7"/>
      <c r="V780" s="10">
        <v>0</v>
      </c>
      <c r="W780" s="7" t="s">
        <v>48</v>
      </c>
      <c r="X780" s="10" t="s">
        <v>36</v>
      </c>
      <c r="Y780" s="7" t="s">
        <v>37</v>
      </c>
    </row>
    <row x14ac:dyDescent="0.25" r="781" customHeight="1" ht="18.75">
      <c r="A781" s="11">
        <v>74221288</v>
      </c>
      <c r="B781" s="12">
        <v>1971</v>
      </c>
      <c r="C781" s="13" t="s">
        <v>3715</v>
      </c>
      <c r="D781" s="13" t="s">
        <v>3716</v>
      </c>
      <c r="E781" s="14">
        <v>74321288</v>
      </c>
      <c r="F781" s="14">
        <v>1971</v>
      </c>
      <c r="G781" s="13" t="s">
        <v>27</v>
      </c>
      <c r="H781" s="13" t="s">
        <v>3717</v>
      </c>
      <c r="I781" s="13" t="s">
        <v>3718</v>
      </c>
      <c r="J781" s="14">
        <f>74952408424</f>
      </c>
      <c r="K781" s="14">
        <v>6212</v>
      </c>
      <c r="L781" s="13" t="s">
        <v>1276</v>
      </c>
      <c r="M781" s="14">
        <v>105</v>
      </c>
      <c r="N781" s="13" t="s">
        <v>1277</v>
      </c>
      <c r="O781" s="13" t="s">
        <v>44</v>
      </c>
      <c r="P781" s="13" t="s">
        <v>3050</v>
      </c>
      <c r="Q781" s="14" t="s">
        <v>58</v>
      </c>
      <c r="R781" s="13" t="s">
        <v>33</v>
      </c>
      <c r="S781" s="13" t="s">
        <v>34</v>
      </c>
      <c r="T781" s="15">
        <v>0</v>
      </c>
      <c r="U781" s="13"/>
      <c r="V781" s="15">
        <v>0</v>
      </c>
      <c r="W781" s="13" t="s">
        <v>48</v>
      </c>
      <c r="X781" s="15" t="s">
        <v>65</v>
      </c>
      <c r="Y781" s="13" t="s">
        <v>59</v>
      </c>
    </row>
    <row x14ac:dyDescent="0.25" r="782" customHeight="1" ht="18.75">
      <c r="A782" s="5">
        <v>74221289</v>
      </c>
      <c r="B782" s="6">
        <v>1972</v>
      </c>
      <c r="C782" s="7" t="s">
        <v>3719</v>
      </c>
      <c r="D782" s="7" t="s">
        <v>3720</v>
      </c>
      <c r="E782" s="8">
        <v>74321289</v>
      </c>
      <c r="F782" s="8">
        <v>1972</v>
      </c>
      <c r="G782" s="7" t="s">
        <v>27</v>
      </c>
      <c r="H782" s="7" t="s">
        <v>3721</v>
      </c>
      <c r="I782" s="7" t="s">
        <v>3722</v>
      </c>
      <c r="J782" s="8">
        <f>74952408424</f>
      </c>
      <c r="K782" s="8">
        <v>6908</v>
      </c>
      <c r="L782" s="7" t="s">
        <v>1276</v>
      </c>
      <c r="M782" s="8">
        <v>105</v>
      </c>
      <c r="N782" s="7" t="s">
        <v>1277</v>
      </c>
      <c r="O782" s="7" t="s">
        <v>119</v>
      </c>
      <c r="P782" s="7" t="s">
        <v>1081</v>
      </c>
      <c r="Q782" s="8" t="s">
        <v>1039</v>
      </c>
      <c r="R782" s="7" t="s">
        <v>33</v>
      </c>
      <c r="S782" s="7" t="s">
        <v>34</v>
      </c>
      <c r="T782" s="10">
        <v>0</v>
      </c>
      <c r="U782" s="7"/>
      <c r="V782" s="10">
        <v>0</v>
      </c>
      <c r="W782" s="7" t="s">
        <v>48</v>
      </c>
      <c r="X782" s="10" t="s">
        <v>36</v>
      </c>
      <c r="Y782" s="7" t="s">
        <v>37</v>
      </c>
    </row>
    <row x14ac:dyDescent="0.25" r="783" customHeight="1" ht="18.75">
      <c r="A783" s="11">
        <v>74221291</v>
      </c>
      <c r="B783" s="12">
        <v>1973</v>
      </c>
      <c r="C783" s="13" t="s">
        <v>3723</v>
      </c>
      <c r="D783" s="13" t="s">
        <v>3724</v>
      </c>
      <c r="E783" s="14">
        <v>74321291</v>
      </c>
      <c r="F783" s="14">
        <v>1973</v>
      </c>
      <c r="G783" s="13" t="s">
        <v>27</v>
      </c>
      <c r="H783" s="13" t="s">
        <v>3725</v>
      </c>
      <c r="I783" s="13" t="s">
        <v>3726</v>
      </c>
      <c r="J783" s="14">
        <f>74952408424</f>
      </c>
      <c r="K783" s="14">
        <v>6916</v>
      </c>
      <c r="L783" s="13" t="s">
        <v>1276</v>
      </c>
      <c r="M783" s="14">
        <v>105</v>
      </c>
      <c r="N783" s="13" t="s">
        <v>1277</v>
      </c>
      <c r="O783" s="13" t="s">
        <v>119</v>
      </c>
      <c r="P783" s="13" t="s">
        <v>1081</v>
      </c>
      <c r="Q783" s="14" t="s">
        <v>1039</v>
      </c>
      <c r="R783" s="13" t="s">
        <v>33</v>
      </c>
      <c r="S783" s="13" t="s">
        <v>34</v>
      </c>
      <c r="T783" s="15">
        <v>0</v>
      </c>
      <c r="U783" s="13"/>
      <c r="V783" s="15">
        <v>0</v>
      </c>
      <c r="W783" s="13" t="s">
        <v>48</v>
      </c>
      <c r="X783" s="15" t="s">
        <v>36</v>
      </c>
      <c r="Y783" s="13" t="s">
        <v>84</v>
      </c>
    </row>
    <row x14ac:dyDescent="0.25" r="784" customHeight="1" ht="18.75">
      <c r="A784" s="5">
        <v>74221293</v>
      </c>
      <c r="B784" s="6">
        <v>1975</v>
      </c>
      <c r="C784" s="7" t="s">
        <v>3727</v>
      </c>
      <c r="D784" s="7" t="s">
        <v>3728</v>
      </c>
      <c r="E784" s="8">
        <v>74321293</v>
      </c>
      <c r="F784" s="8">
        <v>1975</v>
      </c>
      <c r="G784" s="7" t="s">
        <v>27</v>
      </c>
      <c r="H784" s="7" t="s">
        <v>3729</v>
      </c>
      <c r="I784" s="7" t="s">
        <v>3730</v>
      </c>
      <c r="J784" s="8">
        <f>74952408424</f>
      </c>
      <c r="K784" s="8">
        <v>6998</v>
      </c>
      <c r="L784" s="7" t="s">
        <v>1276</v>
      </c>
      <c r="M784" s="8">
        <v>105</v>
      </c>
      <c r="N784" s="7" t="s">
        <v>1277</v>
      </c>
      <c r="O784" s="7" t="s">
        <v>82</v>
      </c>
      <c r="P784" s="7" t="s">
        <v>3731</v>
      </c>
      <c r="Q784" s="8" t="s">
        <v>58</v>
      </c>
      <c r="R784" s="7" t="s">
        <v>33</v>
      </c>
      <c r="S784" s="7" t="s">
        <v>34</v>
      </c>
      <c r="T784" s="10">
        <v>0</v>
      </c>
      <c r="U784" s="7"/>
      <c r="V784" s="10">
        <v>0</v>
      </c>
      <c r="W784" s="7" t="s">
        <v>48</v>
      </c>
      <c r="X784" s="10" t="s">
        <v>65</v>
      </c>
      <c r="Y784" s="7" t="s">
        <v>59</v>
      </c>
    </row>
    <row x14ac:dyDescent="0.25" r="785" customHeight="1" ht="18.75">
      <c r="A785" s="11">
        <v>74221294</v>
      </c>
      <c r="B785" s="12">
        <v>1976</v>
      </c>
      <c r="C785" s="13" t="s">
        <v>3732</v>
      </c>
      <c r="D785" s="13" t="s">
        <v>3733</v>
      </c>
      <c r="E785" s="14">
        <v>74321294</v>
      </c>
      <c r="F785" s="14">
        <v>1976</v>
      </c>
      <c r="G785" s="13" t="s">
        <v>27</v>
      </c>
      <c r="H785" s="13" t="s">
        <v>3734</v>
      </c>
      <c r="I785" s="13" t="s">
        <v>3735</v>
      </c>
      <c r="J785" s="14">
        <f>74952408424</f>
      </c>
      <c r="K785" s="14">
        <v>6024</v>
      </c>
      <c r="L785" s="13" t="s">
        <v>1276</v>
      </c>
      <c r="M785" s="14">
        <v>105</v>
      </c>
      <c r="N785" s="13" t="s">
        <v>1277</v>
      </c>
      <c r="O785" s="13" t="s">
        <v>82</v>
      </c>
      <c r="P785" s="13" t="s">
        <v>3736</v>
      </c>
      <c r="Q785" s="14" t="s">
        <v>3733</v>
      </c>
      <c r="R785" s="13" t="s">
        <v>33</v>
      </c>
      <c r="S785" s="13" t="s">
        <v>34</v>
      </c>
      <c r="T785" s="15">
        <v>0</v>
      </c>
      <c r="U785" s="13"/>
      <c r="V785" s="15">
        <v>0</v>
      </c>
      <c r="W785" s="13" t="s">
        <v>48</v>
      </c>
      <c r="X785" s="15" t="s">
        <v>65</v>
      </c>
      <c r="Y785" s="13" t="s">
        <v>126</v>
      </c>
    </row>
    <row x14ac:dyDescent="0.25" r="786" customHeight="1" ht="18.75">
      <c r="A786" s="5">
        <v>74221295</v>
      </c>
      <c r="B786" s="6">
        <v>1977</v>
      </c>
      <c r="C786" s="7" t="s">
        <v>3737</v>
      </c>
      <c r="D786" s="7" t="s">
        <v>3738</v>
      </c>
      <c r="E786" s="8">
        <v>74321295</v>
      </c>
      <c r="F786" s="8">
        <v>1977</v>
      </c>
      <c r="G786" s="7" t="s">
        <v>27</v>
      </c>
      <c r="H786" s="7" t="s">
        <v>3739</v>
      </c>
      <c r="I786" s="7" t="s">
        <v>3740</v>
      </c>
      <c r="J786" s="8">
        <f>74952408424</f>
      </c>
      <c r="K786" s="8">
        <v>6966</v>
      </c>
      <c r="L786" s="7" t="s">
        <v>1276</v>
      </c>
      <c r="M786" s="8">
        <v>105</v>
      </c>
      <c r="N786" s="7" t="s">
        <v>1277</v>
      </c>
      <c r="O786" s="7" t="s">
        <v>82</v>
      </c>
      <c r="P786" s="7" t="s">
        <v>268</v>
      </c>
      <c r="Q786" s="8" t="s">
        <v>58</v>
      </c>
      <c r="R786" s="7" t="s">
        <v>33</v>
      </c>
      <c r="S786" s="7" t="s">
        <v>34</v>
      </c>
      <c r="T786" s="10">
        <v>0</v>
      </c>
      <c r="U786" s="7"/>
      <c r="V786" s="10">
        <v>0</v>
      </c>
      <c r="W786" s="7" t="s">
        <v>48</v>
      </c>
      <c r="X786" s="10" t="s">
        <v>36</v>
      </c>
      <c r="Y786" s="7" t="s">
        <v>59</v>
      </c>
    </row>
    <row x14ac:dyDescent="0.25" r="787" customHeight="1" ht="18.75">
      <c r="A787" s="11">
        <v>74221297</v>
      </c>
      <c r="B787" s="12">
        <v>1978</v>
      </c>
      <c r="C787" s="13" t="s">
        <v>3741</v>
      </c>
      <c r="D787" s="13" t="s">
        <v>3742</v>
      </c>
      <c r="E787" s="14">
        <v>74321297</v>
      </c>
      <c r="F787" s="14">
        <v>1978</v>
      </c>
      <c r="G787" s="13" t="s">
        <v>27</v>
      </c>
      <c r="H787" s="13" t="s">
        <v>3743</v>
      </c>
      <c r="I787" s="13" t="s">
        <v>3744</v>
      </c>
      <c r="J787" s="14">
        <f>74952408424</f>
      </c>
      <c r="K787" s="14">
        <v>6016</v>
      </c>
      <c r="L787" s="13" t="s">
        <v>1276</v>
      </c>
      <c r="M787" s="14">
        <v>105</v>
      </c>
      <c r="N787" s="13" t="s">
        <v>1277</v>
      </c>
      <c r="O787" s="13" t="s">
        <v>82</v>
      </c>
      <c r="P787" s="13" t="s">
        <v>3745</v>
      </c>
      <c r="Q787" s="14" t="s">
        <v>58</v>
      </c>
      <c r="R787" s="13" t="s">
        <v>33</v>
      </c>
      <c r="S787" s="13" t="s">
        <v>47</v>
      </c>
      <c r="T787" s="15">
        <v>1</v>
      </c>
      <c r="U787" s="13"/>
      <c r="V787" s="15">
        <v>0</v>
      </c>
      <c r="W787" s="13" t="s">
        <v>48</v>
      </c>
      <c r="X787" s="15" t="s">
        <v>65</v>
      </c>
      <c r="Y787" s="13" t="s">
        <v>59</v>
      </c>
    </row>
    <row x14ac:dyDescent="0.25" r="788" customHeight="1" ht="18.75">
      <c r="A788" s="5">
        <v>74221298</v>
      </c>
      <c r="B788" s="6">
        <v>1979</v>
      </c>
      <c r="C788" s="7" t="s">
        <v>3746</v>
      </c>
      <c r="D788" s="7" t="s">
        <v>3747</v>
      </c>
      <c r="E788" s="8">
        <v>74321298</v>
      </c>
      <c r="F788" s="8">
        <v>1979</v>
      </c>
      <c r="G788" s="7" t="s">
        <v>27</v>
      </c>
      <c r="H788" s="7" t="s">
        <v>3748</v>
      </c>
      <c r="I788" s="7" t="s">
        <v>3749</v>
      </c>
      <c r="J788" s="8">
        <f>74952408424</f>
      </c>
      <c r="K788" s="8">
        <v>6914</v>
      </c>
      <c r="L788" s="7" t="s">
        <v>1276</v>
      </c>
      <c r="M788" s="8">
        <v>105</v>
      </c>
      <c r="N788" s="7" t="s">
        <v>1277</v>
      </c>
      <c r="O788" s="7" t="s">
        <v>119</v>
      </c>
      <c r="P788" s="7" t="s">
        <v>1081</v>
      </c>
      <c r="Q788" s="8" t="s">
        <v>1039</v>
      </c>
      <c r="R788" s="7" t="s">
        <v>33</v>
      </c>
      <c r="S788" s="7" t="s">
        <v>34</v>
      </c>
      <c r="T788" s="10">
        <v>0</v>
      </c>
      <c r="U788" s="7"/>
      <c r="V788" s="10">
        <v>0</v>
      </c>
      <c r="W788" s="7" t="s">
        <v>48</v>
      </c>
      <c r="X788" s="10" t="s">
        <v>36</v>
      </c>
      <c r="Y788" s="7" t="s">
        <v>37</v>
      </c>
    </row>
    <row x14ac:dyDescent="0.25" r="789" customHeight="1" ht="18.75">
      <c r="A789" s="11">
        <v>74221322</v>
      </c>
      <c r="B789" s="12">
        <v>1981</v>
      </c>
      <c r="C789" s="13" t="s">
        <v>3750</v>
      </c>
      <c r="D789" s="13" t="s">
        <v>3751</v>
      </c>
      <c r="E789" s="14">
        <v>74321322</v>
      </c>
      <c r="F789" s="14">
        <v>1981</v>
      </c>
      <c r="G789" s="13" t="s">
        <v>27</v>
      </c>
      <c r="H789" s="13" t="s">
        <v>3752</v>
      </c>
      <c r="I789" s="13" t="s">
        <v>3753</v>
      </c>
      <c r="J789" s="14">
        <f>74952408424</f>
      </c>
      <c r="K789" s="14">
        <v>6940</v>
      </c>
      <c r="L789" s="13" t="s">
        <v>1276</v>
      </c>
      <c r="M789" s="14">
        <v>105</v>
      </c>
      <c r="N789" s="13" t="s">
        <v>1277</v>
      </c>
      <c r="O789" s="13" t="s">
        <v>82</v>
      </c>
      <c r="P789" s="13" t="s">
        <v>1329</v>
      </c>
      <c r="Q789" s="14" t="s">
        <v>58</v>
      </c>
      <c r="R789" s="13" t="s">
        <v>33</v>
      </c>
      <c r="S789" s="13" t="s">
        <v>34</v>
      </c>
      <c r="T789" s="15">
        <v>0</v>
      </c>
      <c r="U789" s="13"/>
      <c r="V789" s="15">
        <v>0</v>
      </c>
      <c r="W789" s="13" t="s">
        <v>48</v>
      </c>
      <c r="X789" s="15" t="s">
        <v>65</v>
      </c>
      <c r="Y789" s="13" t="s">
        <v>59</v>
      </c>
    </row>
    <row x14ac:dyDescent="0.25" r="790" customHeight="1" ht="18.75">
      <c r="A790" s="5">
        <v>74221323</v>
      </c>
      <c r="B790" s="6">
        <v>1982</v>
      </c>
      <c r="C790" s="7" t="s">
        <v>3754</v>
      </c>
      <c r="D790" s="7" t="s">
        <v>3755</v>
      </c>
      <c r="E790" s="8">
        <v>74321323</v>
      </c>
      <c r="F790" s="8">
        <v>1982</v>
      </c>
      <c r="G790" s="7" t="s">
        <v>27</v>
      </c>
      <c r="H790" s="7" t="s">
        <v>3756</v>
      </c>
      <c r="I790" s="7" t="s">
        <v>3757</v>
      </c>
      <c r="J790" s="8">
        <f>74952408424</f>
      </c>
      <c r="K790" s="8">
        <v>6994</v>
      </c>
      <c r="L790" s="7" t="s">
        <v>1276</v>
      </c>
      <c r="M790" s="8">
        <v>105</v>
      </c>
      <c r="N790" s="7" t="s">
        <v>1277</v>
      </c>
      <c r="O790" s="7" t="s">
        <v>82</v>
      </c>
      <c r="P790" s="7" t="s">
        <v>3758</v>
      </c>
      <c r="Q790" s="8" t="s">
        <v>58</v>
      </c>
      <c r="R790" s="7" t="s">
        <v>33</v>
      </c>
      <c r="S790" s="7" t="s">
        <v>34</v>
      </c>
      <c r="T790" s="10">
        <v>0</v>
      </c>
      <c r="U790" s="7"/>
      <c r="V790" s="10">
        <v>0</v>
      </c>
      <c r="W790" s="7" t="s">
        <v>48</v>
      </c>
      <c r="X790" s="10" t="s">
        <v>65</v>
      </c>
      <c r="Y790" s="7" t="s">
        <v>37</v>
      </c>
    </row>
    <row x14ac:dyDescent="0.25" r="791" customHeight="1" ht="18.75">
      <c r="A791" s="11">
        <v>74221328</v>
      </c>
      <c r="B791" s="12">
        <v>1983</v>
      </c>
      <c r="C791" s="13" t="s">
        <v>3759</v>
      </c>
      <c r="D791" s="13" t="s">
        <v>3760</v>
      </c>
      <c r="E791" s="14">
        <v>74321328</v>
      </c>
      <c r="F791" s="14">
        <v>1983</v>
      </c>
      <c r="G791" s="13" t="s">
        <v>27</v>
      </c>
      <c r="H791" s="13" t="s">
        <v>3761</v>
      </c>
      <c r="I791" s="13" t="s">
        <v>3762</v>
      </c>
      <c r="J791" s="14">
        <f>74952408424</f>
      </c>
      <c r="K791" s="14">
        <v>6614</v>
      </c>
      <c r="L791" s="13" t="s">
        <v>1276</v>
      </c>
      <c r="M791" s="14">
        <v>105</v>
      </c>
      <c r="N791" s="13" t="s">
        <v>1277</v>
      </c>
      <c r="O791" s="13" t="s">
        <v>96</v>
      </c>
      <c r="P791" s="13" t="s">
        <v>2197</v>
      </c>
      <c r="Q791" s="14" t="s">
        <v>182</v>
      </c>
      <c r="R791" s="13" t="s">
        <v>33</v>
      </c>
      <c r="S791" s="13" t="s">
        <v>34</v>
      </c>
      <c r="T791" s="15">
        <v>0</v>
      </c>
      <c r="U791" s="13"/>
      <c r="V791" s="15">
        <v>0</v>
      </c>
      <c r="W791" s="13" t="s">
        <v>48</v>
      </c>
      <c r="X791" s="15" t="s">
        <v>65</v>
      </c>
      <c r="Y791" s="13" t="s">
        <v>59</v>
      </c>
    </row>
    <row x14ac:dyDescent="0.25" r="792" customHeight="1" ht="18.75">
      <c r="A792" s="5">
        <v>74221339</v>
      </c>
      <c r="B792" s="6">
        <v>1985</v>
      </c>
      <c r="C792" s="7" t="s">
        <v>3763</v>
      </c>
      <c r="D792" s="7" t="s">
        <v>3764</v>
      </c>
      <c r="E792" s="8">
        <v>74321339</v>
      </c>
      <c r="F792" s="8">
        <v>1985</v>
      </c>
      <c r="G792" s="7" t="s">
        <v>27</v>
      </c>
      <c r="H792" s="7" t="s">
        <v>3765</v>
      </c>
      <c r="I792" s="7" t="s">
        <v>3766</v>
      </c>
      <c r="J792" s="8">
        <f>74952408424</f>
      </c>
      <c r="K792" s="8">
        <v>6328</v>
      </c>
      <c r="L792" s="7" t="s">
        <v>1276</v>
      </c>
      <c r="M792" s="8">
        <v>105</v>
      </c>
      <c r="N792" s="7" t="s">
        <v>1277</v>
      </c>
      <c r="O792" s="7" t="s">
        <v>73</v>
      </c>
      <c r="P792" s="7" t="s">
        <v>1872</v>
      </c>
      <c r="Q792" s="8" t="s">
        <v>3767</v>
      </c>
      <c r="R792" s="7" t="s">
        <v>33</v>
      </c>
      <c r="S792" s="7" t="s">
        <v>34</v>
      </c>
      <c r="T792" s="10">
        <v>0</v>
      </c>
      <c r="U792" s="7"/>
      <c r="V792" s="10">
        <v>0</v>
      </c>
      <c r="W792" s="7" t="s">
        <v>48</v>
      </c>
      <c r="X792" s="10" t="s">
        <v>36</v>
      </c>
      <c r="Y792" s="7" t="s">
        <v>37</v>
      </c>
    </row>
    <row x14ac:dyDescent="0.25" r="793" customHeight="1" ht="18.75">
      <c r="A793" s="11">
        <v>74221340</v>
      </c>
      <c r="B793" s="12">
        <v>1986</v>
      </c>
      <c r="C793" s="13" t="s">
        <v>3768</v>
      </c>
      <c r="D793" s="13" t="s">
        <v>3769</v>
      </c>
      <c r="E793" s="14">
        <v>74321340</v>
      </c>
      <c r="F793" s="14">
        <v>1986</v>
      </c>
      <c r="G793" s="13" t="s">
        <v>27</v>
      </c>
      <c r="H793" s="13" t="s">
        <v>3770</v>
      </c>
      <c r="I793" s="13" t="s">
        <v>3771</v>
      </c>
      <c r="J793" s="14">
        <f>74952408424</f>
      </c>
      <c r="K793" s="14">
        <v>6330</v>
      </c>
      <c r="L793" s="13" t="s">
        <v>1276</v>
      </c>
      <c r="M793" s="14">
        <v>105</v>
      </c>
      <c r="N793" s="13" t="s">
        <v>1277</v>
      </c>
      <c r="O793" s="13" t="s">
        <v>73</v>
      </c>
      <c r="P793" s="13" t="s">
        <v>3772</v>
      </c>
      <c r="Q793" s="14" t="s">
        <v>1742</v>
      </c>
      <c r="R793" s="13" t="s">
        <v>33</v>
      </c>
      <c r="S793" s="13" t="s">
        <v>34</v>
      </c>
      <c r="T793" s="15">
        <v>0</v>
      </c>
      <c r="U793" s="13"/>
      <c r="V793" s="15">
        <v>0</v>
      </c>
      <c r="W793" s="13" t="s">
        <v>48</v>
      </c>
      <c r="X793" s="15" t="s">
        <v>36</v>
      </c>
      <c r="Y793" s="13" t="s">
        <v>37</v>
      </c>
    </row>
    <row x14ac:dyDescent="0.25" r="794" customHeight="1" ht="18.75">
      <c r="A794" s="5">
        <v>74021366</v>
      </c>
      <c r="B794" s="6">
        <v>1988</v>
      </c>
      <c r="C794" s="7" t="s">
        <v>3773</v>
      </c>
      <c r="D794" s="7" t="s">
        <v>3774</v>
      </c>
      <c r="E794" s="8">
        <v>74021366</v>
      </c>
      <c r="F794" s="8">
        <v>1988</v>
      </c>
      <c r="G794" s="7" t="s">
        <v>27</v>
      </c>
      <c r="H794" s="7" t="s">
        <v>3775</v>
      </c>
      <c r="I794" s="7" t="s">
        <v>3776</v>
      </c>
      <c r="J794" s="8">
        <f>74952120000</f>
      </c>
      <c r="K794" s="8">
        <v>5030</v>
      </c>
      <c r="L794" s="7" t="s">
        <v>2034</v>
      </c>
      <c r="M794" s="8">
        <v>141</v>
      </c>
      <c r="N794" s="7" t="s">
        <v>2035</v>
      </c>
      <c r="O794" s="7" t="s">
        <v>82</v>
      </c>
      <c r="P794" s="7" t="s">
        <v>3777</v>
      </c>
      <c r="Q794" s="8" t="s">
        <v>3778</v>
      </c>
      <c r="R794" s="7" t="s">
        <v>33</v>
      </c>
      <c r="S794" s="7" t="s">
        <v>34</v>
      </c>
      <c r="T794" s="10">
        <v>0</v>
      </c>
      <c r="U794" s="7"/>
      <c r="V794" s="10">
        <v>0</v>
      </c>
      <c r="W794" s="7"/>
      <c r="X794" s="10">
        <v>0</v>
      </c>
      <c r="Y794" s="7" t="s">
        <v>37</v>
      </c>
    </row>
    <row x14ac:dyDescent="0.25" r="795" customHeight="1" ht="18.75">
      <c r="A795" s="11">
        <v>74021412</v>
      </c>
      <c r="B795" s="12">
        <v>1992</v>
      </c>
      <c r="C795" s="13" t="s">
        <v>3779</v>
      </c>
      <c r="D795" s="13" t="s">
        <v>3780</v>
      </c>
      <c r="E795" s="14">
        <v>74021412</v>
      </c>
      <c r="F795" s="14">
        <v>1992</v>
      </c>
      <c r="G795" s="13" t="s">
        <v>27</v>
      </c>
      <c r="H795" s="13" t="s">
        <v>3781</v>
      </c>
      <c r="I795" s="13" t="s">
        <v>3782</v>
      </c>
      <c r="J795" s="14">
        <f>74952120000</f>
      </c>
      <c r="K795" s="14">
        <v>5758</v>
      </c>
      <c r="L795" s="13" t="s">
        <v>2034</v>
      </c>
      <c r="M795" s="14">
        <v>141</v>
      </c>
      <c r="N795" s="13" t="s">
        <v>2035</v>
      </c>
      <c r="O795" s="13" t="s">
        <v>510</v>
      </c>
      <c r="P795" s="13" t="s">
        <v>2779</v>
      </c>
      <c r="Q795" s="14" t="s">
        <v>3783</v>
      </c>
      <c r="R795" s="13" t="s">
        <v>33</v>
      </c>
      <c r="S795" s="13" t="s">
        <v>34</v>
      </c>
      <c r="T795" s="15">
        <v>0</v>
      </c>
      <c r="U795" s="13"/>
      <c r="V795" s="15">
        <v>0</v>
      </c>
      <c r="W795" s="13"/>
      <c r="X795" s="15">
        <v>0</v>
      </c>
      <c r="Y795" s="13" t="s">
        <v>126</v>
      </c>
    </row>
    <row x14ac:dyDescent="0.25" r="796" customHeight="1" ht="18.75">
      <c r="A796" s="5">
        <v>74221413</v>
      </c>
      <c r="B796" s="6">
        <v>1993</v>
      </c>
      <c r="C796" s="7" t="s">
        <v>3784</v>
      </c>
      <c r="D796" s="7" t="s">
        <v>3785</v>
      </c>
      <c r="E796" s="8">
        <v>74321413</v>
      </c>
      <c r="F796" s="8">
        <v>1993</v>
      </c>
      <c r="G796" s="7" t="s">
        <v>27</v>
      </c>
      <c r="H796" s="7" t="s">
        <v>3786</v>
      </c>
      <c r="I796" s="7" t="s">
        <v>3787</v>
      </c>
      <c r="J796" s="8">
        <f>74952408424</f>
      </c>
      <c r="K796" s="8">
        <v>6616</v>
      </c>
      <c r="L796" s="7" t="s">
        <v>1276</v>
      </c>
      <c r="M796" s="8">
        <v>105</v>
      </c>
      <c r="N796" s="7" t="s">
        <v>1277</v>
      </c>
      <c r="O796" s="7" t="s">
        <v>96</v>
      </c>
      <c r="P796" s="7" t="s">
        <v>2197</v>
      </c>
      <c r="Q796" s="8" t="s">
        <v>182</v>
      </c>
      <c r="R796" s="7" t="s">
        <v>33</v>
      </c>
      <c r="S796" s="7" t="s">
        <v>34</v>
      </c>
      <c r="T796" s="10">
        <v>0</v>
      </c>
      <c r="U796" s="7"/>
      <c r="V796" s="10">
        <v>0</v>
      </c>
      <c r="W796" s="7" t="s">
        <v>48</v>
      </c>
      <c r="X796" s="10" t="s">
        <v>65</v>
      </c>
      <c r="Y796" s="7" t="s">
        <v>84</v>
      </c>
    </row>
    <row x14ac:dyDescent="0.25" r="797" customHeight="1" ht="18.75">
      <c r="A797" s="11">
        <v>74221416</v>
      </c>
      <c r="B797" s="12">
        <v>1995</v>
      </c>
      <c r="C797" s="13" t="s">
        <v>3788</v>
      </c>
      <c r="D797" s="13" t="s">
        <v>3789</v>
      </c>
      <c r="E797" s="14">
        <v>74321416</v>
      </c>
      <c r="F797" s="14">
        <v>1995</v>
      </c>
      <c r="G797" s="13" t="s">
        <v>27</v>
      </c>
      <c r="H797" s="13" t="s">
        <v>3790</v>
      </c>
      <c r="I797" s="13" t="s">
        <v>3791</v>
      </c>
      <c r="J797" s="14">
        <f>74952408424</f>
      </c>
      <c r="K797" s="14">
        <v>6396</v>
      </c>
      <c r="L797" s="13" t="s">
        <v>1276</v>
      </c>
      <c r="M797" s="14">
        <v>105</v>
      </c>
      <c r="N797" s="13" t="s">
        <v>1277</v>
      </c>
      <c r="O797" s="13" t="s">
        <v>73</v>
      </c>
      <c r="P797" s="13" t="s">
        <v>1532</v>
      </c>
      <c r="Q797" s="14" t="s">
        <v>1533</v>
      </c>
      <c r="R797" s="13" t="s">
        <v>33</v>
      </c>
      <c r="S797" s="13" t="s">
        <v>34</v>
      </c>
      <c r="T797" s="15">
        <v>0</v>
      </c>
      <c r="U797" s="13"/>
      <c r="V797" s="15">
        <v>0</v>
      </c>
      <c r="W797" s="13" t="s">
        <v>48</v>
      </c>
      <c r="X797" s="15" t="s">
        <v>65</v>
      </c>
      <c r="Y797" s="13" t="s">
        <v>37</v>
      </c>
    </row>
    <row x14ac:dyDescent="0.25" r="798" customHeight="1" ht="18.75">
      <c r="A798" s="5">
        <v>74221417</v>
      </c>
      <c r="B798" s="6">
        <v>1996</v>
      </c>
      <c r="C798" s="7" t="s">
        <v>3792</v>
      </c>
      <c r="D798" s="7" t="s">
        <v>3793</v>
      </c>
      <c r="E798" s="8">
        <v>74321417</v>
      </c>
      <c r="F798" s="8">
        <v>1996</v>
      </c>
      <c r="G798" s="7" t="s">
        <v>27</v>
      </c>
      <c r="H798" s="7" t="s">
        <v>3794</v>
      </c>
      <c r="I798" s="7" t="s">
        <v>3795</v>
      </c>
      <c r="J798" s="7" t="s">
        <v>467</v>
      </c>
      <c r="K798" s="8">
        <v>6394</v>
      </c>
      <c r="L798" s="7" t="s">
        <v>1276</v>
      </c>
      <c r="M798" s="8">
        <v>105</v>
      </c>
      <c r="N798" s="7" t="s">
        <v>1277</v>
      </c>
      <c r="O798" s="7" t="s">
        <v>73</v>
      </c>
      <c r="P798" s="7" t="s">
        <v>1532</v>
      </c>
      <c r="Q798" s="8" t="s">
        <v>1533</v>
      </c>
      <c r="R798" s="7" t="s">
        <v>33</v>
      </c>
      <c r="S798" s="7" t="s">
        <v>34</v>
      </c>
      <c r="T798" s="10">
        <v>0</v>
      </c>
      <c r="U798" s="7"/>
      <c r="V798" s="10">
        <v>0</v>
      </c>
      <c r="W798" s="7" t="s">
        <v>48</v>
      </c>
      <c r="X798" s="10" t="s">
        <v>65</v>
      </c>
      <c r="Y798" s="7" t="s">
        <v>37</v>
      </c>
    </row>
    <row x14ac:dyDescent="0.25" r="799" customHeight="1" ht="18.75">
      <c r="A799" s="11">
        <v>74221419</v>
      </c>
      <c r="B799" s="12">
        <v>1997</v>
      </c>
      <c r="C799" s="13" t="s">
        <v>3796</v>
      </c>
      <c r="D799" s="13" t="s">
        <v>3797</v>
      </c>
      <c r="E799" s="14">
        <v>74321419</v>
      </c>
      <c r="F799" s="14">
        <v>1997</v>
      </c>
      <c r="G799" s="13" t="s">
        <v>27</v>
      </c>
      <c r="H799" s="13" t="s">
        <v>3798</v>
      </c>
      <c r="I799" s="13" t="s">
        <v>3799</v>
      </c>
      <c r="J799" s="14">
        <f>74952408424</f>
      </c>
      <c r="K799" s="14">
        <v>6455</v>
      </c>
      <c r="L799" s="13" t="s">
        <v>1276</v>
      </c>
      <c r="M799" s="14">
        <v>105</v>
      </c>
      <c r="N799" s="13" t="s">
        <v>1277</v>
      </c>
      <c r="O799" s="13" t="s">
        <v>82</v>
      </c>
      <c r="P799" s="13" t="s">
        <v>2100</v>
      </c>
      <c r="Q799" s="14" t="s">
        <v>58</v>
      </c>
      <c r="R799" s="13" t="s">
        <v>33</v>
      </c>
      <c r="S799" s="13" t="s">
        <v>34</v>
      </c>
      <c r="T799" s="15">
        <v>0</v>
      </c>
      <c r="U799" s="13"/>
      <c r="V799" s="15">
        <v>0</v>
      </c>
      <c r="W799" s="13" t="s">
        <v>48</v>
      </c>
      <c r="X799" s="15" t="s">
        <v>65</v>
      </c>
      <c r="Y799" s="13" t="s">
        <v>59</v>
      </c>
    </row>
    <row x14ac:dyDescent="0.25" r="800" customHeight="1" ht="18.75">
      <c r="A800" s="5">
        <v>74221420</v>
      </c>
      <c r="B800" s="6">
        <v>1998</v>
      </c>
      <c r="C800" s="7" t="s">
        <v>3800</v>
      </c>
      <c r="D800" s="7" t="s">
        <v>3801</v>
      </c>
      <c r="E800" s="8">
        <v>74321420</v>
      </c>
      <c r="F800" s="8">
        <v>1998</v>
      </c>
      <c r="G800" s="7" t="s">
        <v>27</v>
      </c>
      <c r="H800" s="7" t="s">
        <v>3802</v>
      </c>
      <c r="I800" s="7" t="s">
        <v>3803</v>
      </c>
      <c r="J800" s="8">
        <f>74952408424</f>
      </c>
      <c r="K800" s="8">
        <v>6473</v>
      </c>
      <c r="L800" s="7" t="s">
        <v>1276</v>
      </c>
      <c r="M800" s="8">
        <v>105</v>
      </c>
      <c r="N800" s="7" t="s">
        <v>1277</v>
      </c>
      <c r="O800" s="7" t="s">
        <v>73</v>
      </c>
      <c r="P800" s="7" t="s">
        <v>1532</v>
      </c>
      <c r="Q800" s="8" t="s">
        <v>1533</v>
      </c>
      <c r="R800" s="7" t="s">
        <v>33</v>
      </c>
      <c r="S800" s="7" t="s">
        <v>34</v>
      </c>
      <c r="T800" s="10">
        <v>0</v>
      </c>
      <c r="U800" s="7"/>
      <c r="V800" s="10">
        <v>0</v>
      </c>
      <c r="W800" s="7" t="s">
        <v>48</v>
      </c>
      <c r="X800" s="10" t="s">
        <v>65</v>
      </c>
      <c r="Y800" s="7" t="s">
        <v>37</v>
      </c>
    </row>
    <row x14ac:dyDescent="0.25" r="801" customHeight="1" ht="18.75">
      <c r="A801" s="11">
        <v>74221441</v>
      </c>
      <c r="B801" s="12">
        <v>2000</v>
      </c>
      <c r="C801" s="13" t="s">
        <v>3804</v>
      </c>
      <c r="D801" s="13" t="s">
        <v>3805</v>
      </c>
      <c r="E801" s="14">
        <v>74321441</v>
      </c>
      <c r="F801" s="14">
        <v>2000</v>
      </c>
      <c r="G801" s="13" t="s">
        <v>27</v>
      </c>
      <c r="H801" s="13" t="s">
        <v>3806</v>
      </c>
      <c r="I801" s="13" t="s">
        <v>3807</v>
      </c>
      <c r="J801" s="14">
        <f>74952408424</f>
      </c>
      <c r="K801" s="14">
        <v>6018</v>
      </c>
      <c r="L801" s="13" t="s">
        <v>1276</v>
      </c>
      <c r="M801" s="14">
        <v>105</v>
      </c>
      <c r="N801" s="13" t="s">
        <v>1277</v>
      </c>
      <c r="O801" s="13" t="s">
        <v>82</v>
      </c>
      <c r="P801" s="13" t="s">
        <v>2486</v>
      </c>
      <c r="Q801" s="14" t="s">
        <v>58</v>
      </c>
      <c r="R801" s="13" t="s">
        <v>33</v>
      </c>
      <c r="S801" s="13" t="s">
        <v>34</v>
      </c>
      <c r="T801" s="15">
        <v>0</v>
      </c>
      <c r="U801" s="13"/>
      <c r="V801" s="15">
        <v>0</v>
      </c>
      <c r="W801" s="13" t="s">
        <v>48</v>
      </c>
      <c r="X801" s="15" t="s">
        <v>65</v>
      </c>
      <c r="Y801" s="13" t="s">
        <v>84</v>
      </c>
    </row>
    <row x14ac:dyDescent="0.25" r="802" customHeight="1" ht="18.75">
      <c r="A802" s="5">
        <v>74221442</v>
      </c>
      <c r="B802" s="6">
        <v>2001</v>
      </c>
      <c r="C802" s="7" t="s">
        <v>3808</v>
      </c>
      <c r="D802" s="7" t="s">
        <v>3809</v>
      </c>
      <c r="E802" s="8">
        <v>74321442</v>
      </c>
      <c r="F802" s="8">
        <v>2001</v>
      </c>
      <c r="G802" s="7" t="s">
        <v>27</v>
      </c>
      <c r="H802" s="7" t="s">
        <v>3810</v>
      </c>
      <c r="I802" s="7" t="s">
        <v>3811</v>
      </c>
      <c r="J802" s="8">
        <f>74952408424</f>
      </c>
      <c r="K802" s="8">
        <v>6954</v>
      </c>
      <c r="L802" s="7" t="s">
        <v>1276</v>
      </c>
      <c r="M802" s="8">
        <v>105</v>
      </c>
      <c r="N802" s="7" t="s">
        <v>1277</v>
      </c>
      <c r="O802" s="7" t="s">
        <v>82</v>
      </c>
      <c r="P802" s="7" t="s">
        <v>2100</v>
      </c>
      <c r="Q802" s="8" t="s">
        <v>3812</v>
      </c>
      <c r="R802" s="7" t="s">
        <v>33</v>
      </c>
      <c r="S802" s="7" t="s">
        <v>34</v>
      </c>
      <c r="T802" s="10">
        <v>0</v>
      </c>
      <c r="U802" s="7"/>
      <c r="V802" s="10">
        <v>0</v>
      </c>
      <c r="W802" s="7" t="s">
        <v>48</v>
      </c>
      <c r="X802" s="10" t="s">
        <v>65</v>
      </c>
      <c r="Y802" s="7" t="s">
        <v>59</v>
      </c>
    </row>
    <row x14ac:dyDescent="0.25" r="803" customHeight="1" ht="18.75">
      <c r="A803" s="11">
        <v>74221444</v>
      </c>
      <c r="B803" s="12">
        <v>2002</v>
      </c>
      <c r="C803" s="13" t="s">
        <v>3813</v>
      </c>
      <c r="D803" s="13" t="s">
        <v>3814</v>
      </c>
      <c r="E803" s="14">
        <v>74321444</v>
      </c>
      <c r="F803" s="14">
        <v>2002</v>
      </c>
      <c r="G803" s="13" t="s">
        <v>27</v>
      </c>
      <c r="H803" s="13" t="s">
        <v>3815</v>
      </c>
      <c r="I803" s="13" t="s">
        <v>3816</v>
      </c>
      <c r="J803" s="14">
        <f>74952408424</f>
      </c>
      <c r="K803" s="14">
        <v>6398</v>
      </c>
      <c r="L803" s="13" t="s">
        <v>1276</v>
      </c>
      <c r="M803" s="14">
        <v>105</v>
      </c>
      <c r="N803" s="13" t="s">
        <v>1277</v>
      </c>
      <c r="O803" s="13" t="s">
        <v>73</v>
      </c>
      <c r="P803" s="13" t="s">
        <v>1532</v>
      </c>
      <c r="Q803" s="14" t="s">
        <v>1533</v>
      </c>
      <c r="R803" s="13" t="s">
        <v>33</v>
      </c>
      <c r="S803" s="13" t="s">
        <v>34</v>
      </c>
      <c r="T803" s="15">
        <v>0</v>
      </c>
      <c r="U803" s="13"/>
      <c r="V803" s="15">
        <v>0</v>
      </c>
      <c r="W803" s="13" t="s">
        <v>48</v>
      </c>
      <c r="X803" s="15" t="s">
        <v>65</v>
      </c>
      <c r="Y803" s="13" t="s">
        <v>84</v>
      </c>
    </row>
    <row x14ac:dyDescent="0.25" r="804" customHeight="1" ht="18.75">
      <c r="A804" s="5">
        <v>74221445</v>
      </c>
      <c r="B804" s="6">
        <v>2003</v>
      </c>
      <c r="C804" s="7" t="s">
        <v>3817</v>
      </c>
      <c r="D804" s="7" t="s">
        <v>3818</v>
      </c>
      <c r="E804" s="8">
        <v>74321445</v>
      </c>
      <c r="F804" s="8">
        <v>2003</v>
      </c>
      <c r="G804" s="7" t="s">
        <v>27</v>
      </c>
      <c r="H804" s="7" t="s">
        <v>3819</v>
      </c>
      <c r="I804" s="7" t="s">
        <v>3820</v>
      </c>
      <c r="J804" s="8">
        <f>74952408424</f>
      </c>
      <c r="K804" s="8">
        <v>6536</v>
      </c>
      <c r="L804" s="7" t="s">
        <v>1276</v>
      </c>
      <c r="M804" s="8">
        <v>105</v>
      </c>
      <c r="N804" s="7" t="s">
        <v>1277</v>
      </c>
      <c r="O804" s="7" t="s">
        <v>44</v>
      </c>
      <c r="P804" s="7" t="s">
        <v>2876</v>
      </c>
      <c r="Q804" s="8" t="s">
        <v>58</v>
      </c>
      <c r="R804" s="7" t="s">
        <v>33</v>
      </c>
      <c r="S804" s="7" t="s">
        <v>34</v>
      </c>
      <c r="T804" s="10">
        <v>0</v>
      </c>
      <c r="U804" s="7"/>
      <c r="V804" s="10">
        <v>0</v>
      </c>
      <c r="W804" s="7" t="s">
        <v>48</v>
      </c>
      <c r="X804" s="10" t="s">
        <v>65</v>
      </c>
      <c r="Y804" s="7" t="s">
        <v>37</v>
      </c>
    </row>
    <row x14ac:dyDescent="0.25" r="805" customHeight="1" ht="18.75">
      <c r="A805" s="11">
        <v>74221446</v>
      </c>
      <c r="B805" s="12">
        <v>2004</v>
      </c>
      <c r="C805" s="13" t="s">
        <v>3821</v>
      </c>
      <c r="D805" s="13" t="s">
        <v>3822</v>
      </c>
      <c r="E805" s="14">
        <v>74321446</v>
      </c>
      <c r="F805" s="14">
        <v>2004</v>
      </c>
      <c r="G805" s="13" t="s">
        <v>27</v>
      </c>
      <c r="H805" s="13" t="s">
        <v>3823</v>
      </c>
      <c r="I805" s="13" t="s">
        <v>3824</v>
      </c>
      <c r="J805" s="13" t="s">
        <v>467</v>
      </c>
      <c r="K805" s="14">
        <v>6450</v>
      </c>
      <c r="L805" s="13" t="s">
        <v>1276</v>
      </c>
      <c r="M805" s="14">
        <v>105</v>
      </c>
      <c r="N805" s="13" t="s">
        <v>1277</v>
      </c>
      <c r="O805" s="13" t="s">
        <v>73</v>
      </c>
      <c r="P805" s="13" t="s">
        <v>1532</v>
      </c>
      <c r="Q805" s="14" t="s">
        <v>1533</v>
      </c>
      <c r="R805" s="13" t="s">
        <v>33</v>
      </c>
      <c r="S805" s="13" t="s">
        <v>34</v>
      </c>
      <c r="T805" s="15">
        <v>0</v>
      </c>
      <c r="U805" s="13"/>
      <c r="V805" s="15">
        <v>0</v>
      </c>
      <c r="W805" s="13" t="s">
        <v>48</v>
      </c>
      <c r="X805" s="15" t="s">
        <v>65</v>
      </c>
      <c r="Y805" s="13" t="s">
        <v>37</v>
      </c>
    </row>
    <row x14ac:dyDescent="0.25" r="806" customHeight="1" ht="18.75">
      <c r="A806" s="5">
        <v>74221448</v>
      </c>
      <c r="B806" s="6">
        <v>2005</v>
      </c>
      <c r="C806" s="7" t="s">
        <v>3825</v>
      </c>
      <c r="D806" s="7" t="s">
        <v>3826</v>
      </c>
      <c r="E806" s="8">
        <v>74321448</v>
      </c>
      <c r="F806" s="8">
        <v>2005</v>
      </c>
      <c r="G806" s="7" t="s">
        <v>27</v>
      </c>
      <c r="H806" s="7" t="s">
        <v>3827</v>
      </c>
      <c r="I806" s="7" t="s">
        <v>3828</v>
      </c>
      <c r="J806" s="8">
        <f>74952408424</f>
      </c>
      <c r="K806" s="8">
        <v>6462</v>
      </c>
      <c r="L806" s="7" t="s">
        <v>1276</v>
      </c>
      <c r="M806" s="8">
        <v>105</v>
      </c>
      <c r="N806" s="7" t="s">
        <v>1277</v>
      </c>
      <c r="O806" s="7" t="s">
        <v>82</v>
      </c>
      <c r="P806" s="7" t="s">
        <v>367</v>
      </c>
      <c r="Q806" s="8" t="s">
        <v>58</v>
      </c>
      <c r="R806" s="7" t="s">
        <v>33</v>
      </c>
      <c r="S806" s="7" t="s">
        <v>34</v>
      </c>
      <c r="T806" s="10">
        <v>0</v>
      </c>
      <c r="U806" s="7"/>
      <c r="V806" s="10">
        <v>0</v>
      </c>
      <c r="W806" s="7" t="s">
        <v>48</v>
      </c>
      <c r="X806" s="10" t="s">
        <v>65</v>
      </c>
      <c r="Y806" s="7" t="s">
        <v>84</v>
      </c>
    </row>
    <row x14ac:dyDescent="0.25" r="807" customHeight="1" ht="18.75">
      <c r="A807" s="11">
        <v>74221451</v>
      </c>
      <c r="B807" s="12">
        <v>2006</v>
      </c>
      <c r="C807" s="13" t="s">
        <v>3829</v>
      </c>
      <c r="D807" s="13" t="s">
        <v>3830</v>
      </c>
      <c r="E807" s="14">
        <v>74321451</v>
      </c>
      <c r="F807" s="14">
        <v>2006</v>
      </c>
      <c r="G807" s="13" t="s">
        <v>27</v>
      </c>
      <c r="H807" s="13" t="s">
        <v>3831</v>
      </c>
      <c r="I807" s="13" t="s">
        <v>3832</v>
      </c>
      <c r="J807" s="14">
        <f>74952408424</f>
      </c>
      <c r="K807" s="14">
        <v>6946</v>
      </c>
      <c r="L807" s="13" t="s">
        <v>1276</v>
      </c>
      <c r="M807" s="14">
        <v>105</v>
      </c>
      <c r="N807" s="13" t="s">
        <v>1277</v>
      </c>
      <c r="O807" s="13" t="s">
        <v>119</v>
      </c>
      <c r="P807" s="13" t="s">
        <v>3116</v>
      </c>
      <c r="Q807" s="14" t="s">
        <v>1039</v>
      </c>
      <c r="R807" s="13" t="s">
        <v>33</v>
      </c>
      <c r="S807" s="13" t="s">
        <v>34</v>
      </c>
      <c r="T807" s="15">
        <v>0</v>
      </c>
      <c r="U807" s="13"/>
      <c r="V807" s="15">
        <v>0</v>
      </c>
      <c r="W807" s="13" t="s">
        <v>48</v>
      </c>
      <c r="X807" s="15" t="s">
        <v>36</v>
      </c>
      <c r="Y807" s="13" t="s">
        <v>84</v>
      </c>
    </row>
    <row x14ac:dyDescent="0.25" r="808" customHeight="1" ht="18.75">
      <c r="A808" s="5">
        <v>74221472</v>
      </c>
      <c r="B808" s="6">
        <v>2007</v>
      </c>
      <c r="C808" s="7" t="s">
        <v>3833</v>
      </c>
      <c r="D808" s="7" t="s">
        <v>3834</v>
      </c>
      <c r="E808" s="8">
        <v>74321472</v>
      </c>
      <c r="F808" s="8">
        <v>2007</v>
      </c>
      <c r="G808" s="7" t="s">
        <v>27</v>
      </c>
      <c r="H808" s="7" t="s">
        <v>3835</v>
      </c>
      <c r="I808" s="7" t="s">
        <v>3836</v>
      </c>
      <c r="J808" s="8">
        <f>74959812794</f>
      </c>
      <c r="K808" s="8">
        <v>6020</v>
      </c>
      <c r="L808" s="7" t="s">
        <v>1276</v>
      </c>
      <c r="M808" s="8">
        <v>105</v>
      </c>
      <c r="N808" s="7" t="s">
        <v>1277</v>
      </c>
      <c r="O808" s="7" t="s">
        <v>82</v>
      </c>
      <c r="P808" s="7" t="s">
        <v>2100</v>
      </c>
      <c r="Q808" s="8" t="s">
        <v>3837</v>
      </c>
      <c r="R808" s="7" t="s">
        <v>33</v>
      </c>
      <c r="S808" s="7" t="s">
        <v>34</v>
      </c>
      <c r="T808" s="10">
        <v>0</v>
      </c>
      <c r="U808" s="7"/>
      <c r="V808" s="10">
        <v>0</v>
      </c>
      <c r="W808" s="7" t="s">
        <v>48</v>
      </c>
      <c r="X808" s="10" t="s">
        <v>65</v>
      </c>
      <c r="Y808" s="7" t="s">
        <v>84</v>
      </c>
    </row>
    <row x14ac:dyDescent="0.25" r="809" customHeight="1" ht="18.75">
      <c r="A809" s="11">
        <v>74221476</v>
      </c>
      <c r="B809" s="12">
        <v>2008</v>
      </c>
      <c r="C809" s="13" t="s">
        <v>3838</v>
      </c>
      <c r="D809" s="13" t="s">
        <v>3839</v>
      </c>
      <c r="E809" s="14">
        <v>74321476</v>
      </c>
      <c r="F809" s="14">
        <v>2008</v>
      </c>
      <c r="G809" s="13" t="s">
        <v>27</v>
      </c>
      <c r="H809" s="13" t="s">
        <v>3840</v>
      </c>
      <c r="I809" s="13" t="s">
        <v>3841</v>
      </c>
      <c r="J809" s="14">
        <f>74952408424</f>
      </c>
      <c r="K809" s="14">
        <v>6471</v>
      </c>
      <c r="L809" s="13" t="s">
        <v>1276</v>
      </c>
      <c r="M809" s="14">
        <v>105</v>
      </c>
      <c r="N809" s="13" t="s">
        <v>1277</v>
      </c>
      <c r="O809" s="13" t="s">
        <v>73</v>
      </c>
      <c r="P809" s="13" t="s">
        <v>1872</v>
      </c>
      <c r="Q809" s="14" t="s">
        <v>1742</v>
      </c>
      <c r="R809" s="13" t="s">
        <v>33</v>
      </c>
      <c r="S809" s="13" t="s">
        <v>34</v>
      </c>
      <c r="T809" s="15">
        <v>0</v>
      </c>
      <c r="U809" s="13"/>
      <c r="V809" s="15">
        <v>0</v>
      </c>
      <c r="W809" s="13" t="s">
        <v>48</v>
      </c>
      <c r="X809" s="15" t="s">
        <v>36</v>
      </c>
      <c r="Y809" s="13" t="s">
        <v>37</v>
      </c>
    </row>
    <row x14ac:dyDescent="0.25" r="810" customHeight="1" ht="18.75">
      <c r="A810" s="5">
        <v>74221477</v>
      </c>
      <c r="B810" s="6">
        <v>2009</v>
      </c>
      <c r="C810" s="7" t="s">
        <v>3842</v>
      </c>
      <c r="D810" s="7" t="s">
        <v>3843</v>
      </c>
      <c r="E810" s="8">
        <v>74321477</v>
      </c>
      <c r="F810" s="8">
        <v>2009</v>
      </c>
      <c r="G810" s="7" t="s">
        <v>27</v>
      </c>
      <c r="H810" s="7" t="s">
        <v>3844</v>
      </c>
      <c r="I810" s="7" t="s">
        <v>3845</v>
      </c>
      <c r="J810" s="8">
        <f>74952408424</f>
      </c>
      <c r="K810" s="8">
        <v>6465</v>
      </c>
      <c r="L810" s="7" t="s">
        <v>1276</v>
      </c>
      <c r="M810" s="8">
        <v>105</v>
      </c>
      <c r="N810" s="7" t="s">
        <v>1277</v>
      </c>
      <c r="O810" s="7" t="s">
        <v>82</v>
      </c>
      <c r="P810" s="7" t="s">
        <v>268</v>
      </c>
      <c r="Q810" s="8" t="s">
        <v>58</v>
      </c>
      <c r="R810" s="7" t="s">
        <v>33</v>
      </c>
      <c r="S810" s="7" t="s">
        <v>34</v>
      </c>
      <c r="T810" s="10">
        <v>0</v>
      </c>
      <c r="U810" s="7"/>
      <c r="V810" s="10">
        <v>0</v>
      </c>
      <c r="W810" s="7" t="s">
        <v>48</v>
      </c>
      <c r="X810" s="10" t="s">
        <v>65</v>
      </c>
      <c r="Y810" s="7" t="s">
        <v>37</v>
      </c>
    </row>
    <row x14ac:dyDescent="0.25" r="811" customHeight="1" ht="18.75">
      <c r="A811" s="11">
        <v>74221478</v>
      </c>
      <c r="B811" s="12">
        <v>2010</v>
      </c>
      <c r="C811" s="13" t="s">
        <v>3846</v>
      </c>
      <c r="D811" s="13" t="s">
        <v>3847</v>
      </c>
      <c r="E811" s="14">
        <v>74321478</v>
      </c>
      <c r="F811" s="14">
        <v>2010</v>
      </c>
      <c r="G811" s="13" t="s">
        <v>27</v>
      </c>
      <c r="H811" s="13" t="s">
        <v>3848</v>
      </c>
      <c r="I811" s="13" t="s">
        <v>3849</v>
      </c>
      <c r="J811" s="14">
        <f>74952408424</f>
      </c>
      <c r="K811" s="14">
        <v>6466</v>
      </c>
      <c r="L811" s="13" t="s">
        <v>1276</v>
      </c>
      <c r="M811" s="14">
        <v>105</v>
      </c>
      <c r="N811" s="13" t="s">
        <v>1277</v>
      </c>
      <c r="O811" s="13" t="s">
        <v>82</v>
      </c>
      <c r="P811" s="13" t="s">
        <v>82</v>
      </c>
      <c r="Q811" s="14" t="s">
        <v>3847</v>
      </c>
      <c r="R811" s="13" t="s">
        <v>33</v>
      </c>
      <c r="S811" s="13" t="s">
        <v>34</v>
      </c>
      <c r="T811" s="15">
        <v>0</v>
      </c>
      <c r="U811" s="13"/>
      <c r="V811" s="15">
        <v>0</v>
      </c>
      <c r="W811" s="13" t="s">
        <v>48</v>
      </c>
      <c r="X811" s="15" t="s">
        <v>65</v>
      </c>
      <c r="Y811" s="13" t="s">
        <v>84</v>
      </c>
    </row>
    <row x14ac:dyDescent="0.25" r="812" customHeight="1" ht="18.75">
      <c r="A812" s="5">
        <v>74221479</v>
      </c>
      <c r="B812" s="6">
        <v>2011</v>
      </c>
      <c r="C812" s="7" t="s">
        <v>3850</v>
      </c>
      <c r="D812" s="7" t="s">
        <v>3851</v>
      </c>
      <c r="E812" s="8">
        <v>74321479</v>
      </c>
      <c r="F812" s="8">
        <v>2011</v>
      </c>
      <c r="G812" s="7" t="s">
        <v>27</v>
      </c>
      <c r="H812" s="7" t="s">
        <v>3852</v>
      </c>
      <c r="I812" s="7" t="s">
        <v>3853</v>
      </c>
      <c r="J812" s="8">
        <f>74952408424</f>
      </c>
      <c r="K812" s="8">
        <v>6467</v>
      </c>
      <c r="L812" s="7" t="s">
        <v>1276</v>
      </c>
      <c r="M812" s="8">
        <v>105</v>
      </c>
      <c r="N812" s="7" t="s">
        <v>1277</v>
      </c>
      <c r="O812" s="7" t="s">
        <v>82</v>
      </c>
      <c r="P812" s="7" t="s">
        <v>82</v>
      </c>
      <c r="Q812" s="8" t="s">
        <v>3854</v>
      </c>
      <c r="R812" s="7" t="s">
        <v>33</v>
      </c>
      <c r="S812" s="7" t="s">
        <v>34</v>
      </c>
      <c r="T812" s="10">
        <v>0</v>
      </c>
      <c r="U812" s="7"/>
      <c r="V812" s="10">
        <v>0</v>
      </c>
      <c r="W812" s="7" t="s">
        <v>48</v>
      </c>
      <c r="X812" s="10" t="s">
        <v>65</v>
      </c>
      <c r="Y812" s="7" t="s">
        <v>84</v>
      </c>
    </row>
    <row x14ac:dyDescent="0.25" r="813" customHeight="1" ht="18.75">
      <c r="A813" s="11">
        <v>74221482</v>
      </c>
      <c r="B813" s="12">
        <v>2012</v>
      </c>
      <c r="C813" s="13" t="s">
        <v>3855</v>
      </c>
      <c r="D813" s="13" t="s">
        <v>3856</v>
      </c>
      <c r="E813" s="14">
        <v>74321482</v>
      </c>
      <c r="F813" s="14">
        <v>2012</v>
      </c>
      <c r="G813" s="13" t="s">
        <v>27</v>
      </c>
      <c r="H813" s="13" t="s">
        <v>3857</v>
      </c>
      <c r="I813" s="13" t="s">
        <v>3858</v>
      </c>
      <c r="J813" s="14">
        <f>74952408424</f>
      </c>
      <c r="K813" s="14">
        <v>6468</v>
      </c>
      <c r="L813" s="13" t="s">
        <v>1276</v>
      </c>
      <c r="M813" s="14">
        <v>105</v>
      </c>
      <c r="N813" s="13" t="s">
        <v>1277</v>
      </c>
      <c r="O813" s="13" t="s">
        <v>96</v>
      </c>
      <c r="P813" s="13" t="s">
        <v>2197</v>
      </c>
      <c r="Q813" s="14" t="s">
        <v>182</v>
      </c>
      <c r="R813" s="13" t="s">
        <v>33</v>
      </c>
      <c r="S813" s="13" t="s">
        <v>34</v>
      </c>
      <c r="T813" s="15">
        <v>0</v>
      </c>
      <c r="U813" s="13"/>
      <c r="V813" s="15">
        <v>0</v>
      </c>
      <c r="W813" s="13" t="s">
        <v>48</v>
      </c>
      <c r="X813" s="15" t="s">
        <v>65</v>
      </c>
      <c r="Y813" s="13" t="s">
        <v>37</v>
      </c>
    </row>
    <row x14ac:dyDescent="0.25" r="814" customHeight="1" ht="18.75">
      <c r="A814" s="5">
        <v>74221488</v>
      </c>
      <c r="B814" s="6">
        <v>2013</v>
      </c>
      <c r="C814" s="7" t="s">
        <v>3859</v>
      </c>
      <c r="D814" s="7" t="s">
        <v>3860</v>
      </c>
      <c r="E814" s="8">
        <v>74321488</v>
      </c>
      <c r="F814" s="8">
        <v>2013</v>
      </c>
      <c r="G814" s="7" t="s">
        <v>27</v>
      </c>
      <c r="H814" s="7" t="s">
        <v>3861</v>
      </c>
      <c r="I814" s="7" t="s">
        <v>3862</v>
      </c>
      <c r="J814" s="8">
        <f>74952408424</f>
      </c>
      <c r="K814" s="8">
        <v>6472</v>
      </c>
      <c r="L814" s="7" t="s">
        <v>1276</v>
      </c>
      <c r="M814" s="8">
        <v>105</v>
      </c>
      <c r="N814" s="7" t="s">
        <v>1277</v>
      </c>
      <c r="O814" s="7" t="s">
        <v>82</v>
      </c>
      <c r="P814" s="7" t="s">
        <v>3184</v>
      </c>
      <c r="Q814" s="8" t="s">
        <v>58</v>
      </c>
      <c r="R814" s="7" t="s">
        <v>33</v>
      </c>
      <c r="S814" s="7" t="s">
        <v>34</v>
      </c>
      <c r="T814" s="10">
        <v>0</v>
      </c>
      <c r="U814" s="7"/>
      <c r="V814" s="10">
        <v>0</v>
      </c>
      <c r="W814" s="7" t="s">
        <v>48</v>
      </c>
      <c r="X814" s="10" t="s">
        <v>65</v>
      </c>
      <c r="Y814" s="7" t="s">
        <v>59</v>
      </c>
    </row>
    <row x14ac:dyDescent="0.25" r="815" customHeight="1" ht="18.75">
      <c r="A815" s="11">
        <v>74221502</v>
      </c>
      <c r="B815" s="12">
        <v>2014</v>
      </c>
      <c r="C815" s="13" t="s">
        <v>3863</v>
      </c>
      <c r="D815" s="13" t="s">
        <v>3864</v>
      </c>
      <c r="E815" s="14">
        <v>74321502</v>
      </c>
      <c r="F815" s="14">
        <v>2014</v>
      </c>
      <c r="G815" s="13" t="s">
        <v>27</v>
      </c>
      <c r="H815" s="13" t="s">
        <v>3865</v>
      </c>
      <c r="I815" s="13" t="s">
        <v>3866</v>
      </c>
      <c r="J815" s="14">
        <f>74952408424</f>
      </c>
      <c r="K815" s="14">
        <v>6479</v>
      </c>
      <c r="L815" s="13" t="s">
        <v>1276</v>
      </c>
      <c r="M815" s="14">
        <v>105</v>
      </c>
      <c r="N815" s="13" t="s">
        <v>1277</v>
      </c>
      <c r="O815" s="13" t="s">
        <v>96</v>
      </c>
      <c r="P815" s="13" t="s">
        <v>2197</v>
      </c>
      <c r="Q815" s="14" t="s">
        <v>182</v>
      </c>
      <c r="R815" s="13" t="s">
        <v>33</v>
      </c>
      <c r="S815" s="13" t="s">
        <v>34</v>
      </c>
      <c r="T815" s="15">
        <v>0</v>
      </c>
      <c r="U815" s="13"/>
      <c r="V815" s="15">
        <v>0</v>
      </c>
      <c r="W815" s="13" t="s">
        <v>48</v>
      </c>
      <c r="X815" s="15" t="s">
        <v>65</v>
      </c>
      <c r="Y815" s="13" t="s">
        <v>37</v>
      </c>
    </row>
    <row x14ac:dyDescent="0.25" r="816" customHeight="1" ht="18.75">
      <c r="A816" s="5">
        <v>74221501</v>
      </c>
      <c r="B816" s="6">
        <v>2015</v>
      </c>
      <c r="C816" s="7" t="s">
        <v>3867</v>
      </c>
      <c r="D816" s="7" t="s">
        <v>3868</v>
      </c>
      <c r="E816" s="8">
        <v>74321501</v>
      </c>
      <c r="F816" s="8">
        <v>2015</v>
      </c>
      <c r="G816" s="7" t="s">
        <v>27</v>
      </c>
      <c r="H816" s="7" t="s">
        <v>3869</v>
      </c>
      <c r="I816" s="7" t="s">
        <v>3870</v>
      </c>
      <c r="J816" s="8">
        <f>74952408424</f>
      </c>
      <c r="K816" s="8">
        <v>6480</v>
      </c>
      <c r="L816" s="7" t="s">
        <v>1276</v>
      </c>
      <c r="M816" s="8">
        <v>105</v>
      </c>
      <c r="N816" s="7" t="s">
        <v>1277</v>
      </c>
      <c r="O816" s="7" t="s">
        <v>73</v>
      </c>
      <c r="P816" s="7" t="s">
        <v>1872</v>
      </c>
      <c r="Q816" s="8" t="s">
        <v>3871</v>
      </c>
      <c r="R816" s="7" t="s">
        <v>33</v>
      </c>
      <c r="S816" s="7" t="s">
        <v>34</v>
      </c>
      <c r="T816" s="10">
        <v>0</v>
      </c>
      <c r="U816" s="7"/>
      <c r="V816" s="10">
        <v>0</v>
      </c>
      <c r="W816" s="7" t="s">
        <v>48</v>
      </c>
      <c r="X816" s="10" t="s">
        <v>36</v>
      </c>
      <c r="Y816" s="7" t="s">
        <v>37</v>
      </c>
    </row>
    <row x14ac:dyDescent="0.25" r="817" customHeight="1" ht="18.75">
      <c r="A817" s="11">
        <v>74021513</v>
      </c>
      <c r="B817" s="12">
        <v>2016</v>
      </c>
      <c r="C817" s="13" t="s">
        <v>3872</v>
      </c>
      <c r="D817" s="13" t="s">
        <v>3873</v>
      </c>
      <c r="E817" s="14">
        <v>74021513</v>
      </c>
      <c r="F817" s="14">
        <v>2016</v>
      </c>
      <c r="G817" s="13" t="s">
        <v>27</v>
      </c>
      <c r="H817" s="13" t="s">
        <v>3874</v>
      </c>
      <c r="I817" s="13" t="s">
        <v>3875</v>
      </c>
      <c r="J817" s="14">
        <f>74952120000</f>
      </c>
      <c r="K817" s="14">
        <v>5011</v>
      </c>
      <c r="L817" s="13" t="s">
        <v>2034</v>
      </c>
      <c r="M817" s="14">
        <v>141</v>
      </c>
      <c r="N817" s="13" t="s">
        <v>2035</v>
      </c>
      <c r="O817" s="13" t="s">
        <v>82</v>
      </c>
      <c r="P817" s="13" t="s">
        <v>3876</v>
      </c>
      <c r="Q817" s="14" t="s">
        <v>3877</v>
      </c>
      <c r="R817" s="13" t="s">
        <v>33</v>
      </c>
      <c r="S817" s="13" t="s">
        <v>34</v>
      </c>
      <c r="T817" s="15">
        <v>0</v>
      </c>
      <c r="U817" s="13"/>
      <c r="V817" s="15">
        <v>0</v>
      </c>
      <c r="W817" s="13"/>
      <c r="X817" s="15">
        <v>0</v>
      </c>
      <c r="Y817" s="13" t="s">
        <v>37</v>
      </c>
    </row>
    <row x14ac:dyDescent="0.25" r="818" customHeight="1" ht="18.75">
      <c r="A818" s="5">
        <v>74021514</v>
      </c>
      <c r="B818" s="6">
        <v>2017</v>
      </c>
      <c r="C818" s="7" t="s">
        <v>3878</v>
      </c>
      <c r="D818" s="7" t="s">
        <v>3879</v>
      </c>
      <c r="E818" s="8">
        <v>74021514</v>
      </c>
      <c r="F818" s="8">
        <v>2017</v>
      </c>
      <c r="G818" s="7" t="s">
        <v>27</v>
      </c>
      <c r="H818" s="7" t="s">
        <v>3880</v>
      </c>
      <c r="I818" s="7" t="s">
        <v>3881</v>
      </c>
      <c r="J818" s="8">
        <f>74952120000</f>
      </c>
      <c r="K818" s="8">
        <v>5013</v>
      </c>
      <c r="L818" s="7" t="s">
        <v>2034</v>
      </c>
      <c r="M818" s="8">
        <v>141</v>
      </c>
      <c r="N818" s="7" t="s">
        <v>2035</v>
      </c>
      <c r="O818" s="7" t="s">
        <v>82</v>
      </c>
      <c r="P818" s="7" t="s">
        <v>3882</v>
      </c>
      <c r="Q818" s="8" t="s">
        <v>3883</v>
      </c>
      <c r="R818" s="7" t="s">
        <v>33</v>
      </c>
      <c r="S818" s="7" t="s">
        <v>47</v>
      </c>
      <c r="T818" s="10">
        <v>1</v>
      </c>
      <c r="U818" s="7"/>
      <c r="V818" s="10">
        <v>0</v>
      </c>
      <c r="W818" s="7"/>
      <c r="X818" s="10">
        <v>0</v>
      </c>
      <c r="Y818" s="7" t="s">
        <v>37</v>
      </c>
    </row>
    <row x14ac:dyDescent="0.25" r="819" customHeight="1" ht="18.75">
      <c r="A819" s="11">
        <v>74021515</v>
      </c>
      <c r="B819" s="12">
        <v>2018</v>
      </c>
      <c r="C819" s="13" t="s">
        <v>3884</v>
      </c>
      <c r="D819" s="13" t="s">
        <v>3885</v>
      </c>
      <c r="E819" s="14">
        <v>74021515</v>
      </c>
      <c r="F819" s="14">
        <v>2018</v>
      </c>
      <c r="G819" s="13" t="s">
        <v>27</v>
      </c>
      <c r="H819" s="13" t="s">
        <v>3886</v>
      </c>
      <c r="I819" s="13" t="s">
        <v>3887</v>
      </c>
      <c r="J819" s="14">
        <f>74952120000</f>
      </c>
      <c r="K819" s="14">
        <v>5027</v>
      </c>
      <c r="L819" s="13" t="s">
        <v>2034</v>
      </c>
      <c r="M819" s="14">
        <v>141</v>
      </c>
      <c r="N819" s="13" t="s">
        <v>2035</v>
      </c>
      <c r="O819" s="13" t="s">
        <v>82</v>
      </c>
      <c r="P819" s="13" t="s">
        <v>3888</v>
      </c>
      <c r="Q819" s="14" t="s">
        <v>3889</v>
      </c>
      <c r="R819" s="13" t="s">
        <v>33</v>
      </c>
      <c r="S819" s="13" t="s">
        <v>47</v>
      </c>
      <c r="T819" s="15">
        <v>1</v>
      </c>
      <c r="U819" s="13"/>
      <c r="V819" s="15">
        <v>0</v>
      </c>
      <c r="W819" s="13"/>
      <c r="X819" s="15">
        <v>0</v>
      </c>
      <c r="Y819" s="13" t="s">
        <v>37</v>
      </c>
    </row>
    <row x14ac:dyDescent="0.25" r="820" customHeight="1" ht="18.75">
      <c r="A820" s="5">
        <v>74021516</v>
      </c>
      <c r="B820" s="6">
        <v>2019</v>
      </c>
      <c r="C820" s="7" t="s">
        <v>3890</v>
      </c>
      <c r="D820" s="7" t="s">
        <v>3891</v>
      </c>
      <c r="E820" s="8">
        <v>74021516</v>
      </c>
      <c r="F820" s="8">
        <v>2019</v>
      </c>
      <c r="G820" s="7" t="s">
        <v>27</v>
      </c>
      <c r="H820" s="7" t="s">
        <v>3892</v>
      </c>
      <c r="I820" s="7" t="s">
        <v>3893</v>
      </c>
      <c r="J820" s="8">
        <f>74952120000</f>
      </c>
      <c r="K820" s="8">
        <v>5031</v>
      </c>
      <c r="L820" s="7" t="s">
        <v>2034</v>
      </c>
      <c r="M820" s="8">
        <v>141</v>
      </c>
      <c r="N820" s="7" t="s">
        <v>2035</v>
      </c>
      <c r="O820" s="7" t="s">
        <v>82</v>
      </c>
      <c r="P820" s="7" t="s">
        <v>3894</v>
      </c>
      <c r="Q820" s="8" t="s">
        <v>3895</v>
      </c>
      <c r="R820" s="7" t="s">
        <v>33</v>
      </c>
      <c r="S820" s="7" t="s">
        <v>47</v>
      </c>
      <c r="T820" s="10">
        <v>1</v>
      </c>
      <c r="U820" s="7"/>
      <c r="V820" s="10">
        <v>0</v>
      </c>
      <c r="W820" s="7"/>
      <c r="X820" s="10">
        <v>0</v>
      </c>
      <c r="Y820" s="7" t="s">
        <v>37</v>
      </c>
    </row>
    <row x14ac:dyDescent="0.25" r="821" customHeight="1" ht="18.75">
      <c r="A821" s="11">
        <v>74021518</v>
      </c>
      <c r="B821" s="12">
        <v>2020</v>
      </c>
      <c r="C821" s="13" t="s">
        <v>3896</v>
      </c>
      <c r="D821" s="13" t="s">
        <v>3897</v>
      </c>
      <c r="E821" s="14">
        <v>74021518</v>
      </c>
      <c r="F821" s="14">
        <v>2020</v>
      </c>
      <c r="G821" s="13" t="s">
        <v>27</v>
      </c>
      <c r="H821" s="13" t="s">
        <v>3898</v>
      </c>
      <c r="I821" s="13" t="s">
        <v>3899</v>
      </c>
      <c r="J821" s="14">
        <f>74952120000</f>
      </c>
      <c r="K821" s="14">
        <v>5039</v>
      </c>
      <c r="L821" s="13" t="s">
        <v>2034</v>
      </c>
      <c r="M821" s="14">
        <v>141</v>
      </c>
      <c r="N821" s="13" t="s">
        <v>2035</v>
      </c>
      <c r="O821" s="13" t="s">
        <v>82</v>
      </c>
      <c r="P821" s="13" t="s">
        <v>2368</v>
      </c>
      <c r="Q821" s="14" t="s">
        <v>3900</v>
      </c>
      <c r="R821" s="13" t="s">
        <v>33</v>
      </c>
      <c r="S821" s="13" t="s">
        <v>34</v>
      </c>
      <c r="T821" s="15">
        <v>0</v>
      </c>
      <c r="U821" s="13"/>
      <c r="V821" s="15">
        <v>0</v>
      </c>
      <c r="W821" s="13"/>
      <c r="X821" s="15">
        <v>0</v>
      </c>
      <c r="Y821" s="13" t="s">
        <v>37</v>
      </c>
    </row>
    <row x14ac:dyDescent="0.25" r="822" customHeight="1" ht="18.75">
      <c r="A822" s="5">
        <v>74221564</v>
      </c>
      <c r="B822" s="6">
        <v>2025</v>
      </c>
      <c r="C822" s="7" t="s">
        <v>3901</v>
      </c>
      <c r="D822" s="7" t="s">
        <v>3902</v>
      </c>
      <c r="E822" s="8">
        <v>74321564</v>
      </c>
      <c r="F822" s="8">
        <v>2025</v>
      </c>
      <c r="G822" s="7" t="s">
        <v>27</v>
      </c>
      <c r="H822" s="7" t="s">
        <v>3903</v>
      </c>
      <c r="I822" s="7" t="s">
        <v>3904</v>
      </c>
      <c r="J822" s="8">
        <f>73822975848</f>
      </c>
      <c r="K822" s="8">
        <v>6483</v>
      </c>
      <c r="L822" s="7" t="s">
        <v>1276</v>
      </c>
      <c r="M822" s="8">
        <v>105</v>
      </c>
      <c r="N822" s="7" t="s">
        <v>1277</v>
      </c>
      <c r="O822" s="7" t="s">
        <v>73</v>
      </c>
      <c r="P822" s="7" t="s">
        <v>3161</v>
      </c>
      <c r="Q822" s="8" t="s">
        <v>182</v>
      </c>
      <c r="R822" s="7" t="s">
        <v>33</v>
      </c>
      <c r="S822" s="7" t="s">
        <v>34</v>
      </c>
      <c r="T822" s="10">
        <v>0</v>
      </c>
      <c r="U822" s="7"/>
      <c r="V822" s="10">
        <v>0</v>
      </c>
      <c r="W822" s="7" t="s">
        <v>48</v>
      </c>
      <c r="X822" s="10" t="s">
        <v>36</v>
      </c>
      <c r="Y822" s="7" t="s">
        <v>59</v>
      </c>
    </row>
    <row x14ac:dyDescent="0.25" r="823" customHeight="1" ht="18.75">
      <c r="A823" s="11">
        <v>74321570</v>
      </c>
      <c r="B823" s="12">
        <v>2026</v>
      </c>
      <c r="C823" s="13" t="s">
        <v>3905</v>
      </c>
      <c r="D823" s="13" t="s">
        <v>3906</v>
      </c>
      <c r="E823" s="14">
        <v>74321570</v>
      </c>
      <c r="F823" s="14">
        <v>2026</v>
      </c>
      <c r="G823" s="13" t="s">
        <v>27</v>
      </c>
      <c r="H823" s="13" t="s">
        <v>3907</v>
      </c>
      <c r="I823" s="13" t="s">
        <v>3908</v>
      </c>
      <c r="J823" s="14">
        <f>74952408424</f>
      </c>
      <c r="K823" s="14">
        <v>6486</v>
      </c>
      <c r="L823" s="13" t="s">
        <v>1276</v>
      </c>
      <c r="M823" s="14">
        <v>105</v>
      </c>
      <c r="N823" s="13" t="s">
        <v>1277</v>
      </c>
      <c r="O823" s="13" t="s">
        <v>96</v>
      </c>
      <c r="P823" s="13" t="s">
        <v>3320</v>
      </c>
      <c r="Q823" s="14" t="s">
        <v>182</v>
      </c>
      <c r="R823" s="13" t="s">
        <v>33</v>
      </c>
      <c r="S823" s="13" t="s">
        <v>34</v>
      </c>
      <c r="T823" s="15">
        <v>0</v>
      </c>
      <c r="U823" s="13"/>
      <c r="V823" s="15">
        <v>0</v>
      </c>
      <c r="W823" s="13" t="s">
        <v>48</v>
      </c>
      <c r="X823" s="15" t="s">
        <v>36</v>
      </c>
      <c r="Y823" s="13" t="s">
        <v>37</v>
      </c>
    </row>
    <row x14ac:dyDescent="0.25" r="824" customHeight="1" ht="18.75">
      <c r="A824" s="5">
        <v>74321574</v>
      </c>
      <c r="B824" s="6">
        <v>2027</v>
      </c>
      <c r="C824" s="7" t="s">
        <v>3909</v>
      </c>
      <c r="D824" s="7" t="s">
        <v>3910</v>
      </c>
      <c r="E824" s="8">
        <v>74321574</v>
      </c>
      <c r="F824" s="8">
        <v>2027</v>
      </c>
      <c r="G824" s="7" t="s">
        <v>27</v>
      </c>
      <c r="H824" s="7" t="s">
        <v>3911</v>
      </c>
      <c r="I824" s="7" t="s">
        <v>3912</v>
      </c>
      <c r="J824" s="8">
        <f>74952408424</f>
      </c>
      <c r="K824" s="8">
        <v>6489</v>
      </c>
      <c r="L824" s="7" t="s">
        <v>1276</v>
      </c>
      <c r="M824" s="8">
        <v>105</v>
      </c>
      <c r="N824" s="7" t="s">
        <v>1277</v>
      </c>
      <c r="O824" s="7" t="s">
        <v>73</v>
      </c>
      <c r="P824" s="7" t="s">
        <v>3193</v>
      </c>
      <c r="Q824" s="8" t="s">
        <v>112</v>
      </c>
      <c r="R824" s="7" t="s">
        <v>33</v>
      </c>
      <c r="S824" s="7" t="s">
        <v>34</v>
      </c>
      <c r="T824" s="10">
        <v>0</v>
      </c>
      <c r="U824" s="7"/>
      <c r="V824" s="10">
        <v>0</v>
      </c>
      <c r="W824" s="7" t="s">
        <v>48</v>
      </c>
      <c r="X824" s="10" t="s">
        <v>36</v>
      </c>
      <c r="Y824" s="7" t="s">
        <v>37</v>
      </c>
    </row>
    <row x14ac:dyDescent="0.25" r="825" customHeight="1" ht="18.75">
      <c r="A825" s="11">
        <v>74321575</v>
      </c>
      <c r="B825" s="12">
        <v>2028</v>
      </c>
      <c r="C825" s="13" t="s">
        <v>3913</v>
      </c>
      <c r="D825" s="13" t="s">
        <v>3914</v>
      </c>
      <c r="E825" s="14">
        <v>74321575</v>
      </c>
      <c r="F825" s="14">
        <v>2028</v>
      </c>
      <c r="G825" s="13" t="s">
        <v>27</v>
      </c>
      <c r="H825" s="13" t="s">
        <v>3915</v>
      </c>
      <c r="I825" s="13" t="s">
        <v>3916</v>
      </c>
      <c r="J825" s="14">
        <f>74952408424</f>
      </c>
      <c r="K825" s="14">
        <v>6488</v>
      </c>
      <c r="L825" s="13" t="s">
        <v>1276</v>
      </c>
      <c r="M825" s="14">
        <v>105</v>
      </c>
      <c r="N825" s="13" t="s">
        <v>1277</v>
      </c>
      <c r="O825" s="13" t="s">
        <v>73</v>
      </c>
      <c r="P825" s="13" t="s">
        <v>3917</v>
      </c>
      <c r="Q825" s="14" t="s">
        <v>1742</v>
      </c>
      <c r="R825" s="13" t="s">
        <v>33</v>
      </c>
      <c r="S825" s="13" t="s">
        <v>34</v>
      </c>
      <c r="T825" s="15">
        <v>0</v>
      </c>
      <c r="U825" s="13"/>
      <c r="V825" s="15">
        <v>0</v>
      </c>
      <c r="W825" s="13" t="s">
        <v>48</v>
      </c>
      <c r="X825" s="15" t="s">
        <v>36</v>
      </c>
      <c r="Y825" s="13" t="s">
        <v>37</v>
      </c>
    </row>
    <row x14ac:dyDescent="0.25" r="826" customHeight="1" ht="18.75">
      <c r="A826" s="5">
        <v>74013266</v>
      </c>
      <c r="B826" s="6">
        <v>2039</v>
      </c>
      <c r="C826" s="7" t="s">
        <v>3918</v>
      </c>
      <c r="D826" s="7" t="s">
        <v>3919</v>
      </c>
      <c r="E826" s="8">
        <v>74013266</v>
      </c>
      <c r="F826" s="8">
        <v>2039</v>
      </c>
      <c r="G826" s="7" t="s">
        <v>27</v>
      </c>
      <c r="H826" s="7" t="s">
        <v>3920</v>
      </c>
      <c r="I826" s="7" t="s">
        <v>3921</v>
      </c>
      <c r="J826" s="8">
        <f>74952120000</f>
      </c>
      <c r="K826" s="8">
        <v>5001</v>
      </c>
      <c r="L826" s="7" t="s">
        <v>2034</v>
      </c>
      <c r="M826" s="8">
        <v>141</v>
      </c>
      <c r="N826" s="7" t="s">
        <v>2035</v>
      </c>
      <c r="O826" s="7" t="s">
        <v>32</v>
      </c>
      <c r="P826" s="7" t="s">
        <v>32</v>
      </c>
      <c r="Q826" s="8" t="s">
        <v>3922</v>
      </c>
      <c r="R826" s="7" t="s">
        <v>33</v>
      </c>
      <c r="S826" s="7" t="s">
        <v>34</v>
      </c>
      <c r="T826" s="10">
        <v>0</v>
      </c>
      <c r="U826" s="7"/>
      <c r="V826" s="10">
        <v>0</v>
      </c>
      <c r="W826" s="7"/>
      <c r="X826" s="10">
        <v>0</v>
      </c>
      <c r="Y826" s="7" t="s">
        <v>37</v>
      </c>
    </row>
    <row x14ac:dyDescent="0.25" r="827" customHeight="1" ht="18.75">
      <c r="A827" s="11">
        <v>74013278</v>
      </c>
      <c r="B827" s="12">
        <v>2048</v>
      </c>
      <c r="C827" s="13" t="s">
        <v>3923</v>
      </c>
      <c r="D827" s="13" t="s">
        <v>3924</v>
      </c>
      <c r="E827" s="14">
        <v>74013278</v>
      </c>
      <c r="F827" s="14">
        <v>2048</v>
      </c>
      <c r="G827" s="13" t="s">
        <v>27</v>
      </c>
      <c r="H827" s="13" t="s">
        <v>3925</v>
      </c>
      <c r="I827" s="13" t="s">
        <v>3926</v>
      </c>
      <c r="J827" s="14">
        <f>74952120000</f>
      </c>
      <c r="K827" s="14">
        <v>5016</v>
      </c>
      <c r="L827" s="13" t="s">
        <v>2034</v>
      </c>
      <c r="M827" s="14">
        <v>141</v>
      </c>
      <c r="N827" s="13" t="s">
        <v>2035</v>
      </c>
      <c r="O827" s="13" t="s">
        <v>82</v>
      </c>
      <c r="P827" s="13" t="s">
        <v>1178</v>
      </c>
      <c r="Q827" s="14" t="s">
        <v>3927</v>
      </c>
      <c r="R827" s="13" t="s">
        <v>33</v>
      </c>
      <c r="S827" s="13" t="s">
        <v>34</v>
      </c>
      <c r="T827" s="15">
        <v>0</v>
      </c>
      <c r="U827" s="13"/>
      <c r="V827" s="15">
        <v>0</v>
      </c>
      <c r="W827" s="13"/>
      <c r="X827" s="15">
        <v>0</v>
      </c>
      <c r="Y827" s="13" t="s">
        <v>37</v>
      </c>
    </row>
    <row x14ac:dyDescent="0.25" r="828" customHeight="1" ht="18.75">
      <c r="A828" s="5">
        <v>74020411</v>
      </c>
      <c r="B828" s="6">
        <v>2053</v>
      </c>
      <c r="C828" s="7" t="s">
        <v>3928</v>
      </c>
      <c r="D828" s="7" t="s">
        <v>3929</v>
      </c>
      <c r="E828" s="8">
        <v>74020411</v>
      </c>
      <c r="F828" s="8">
        <v>2053</v>
      </c>
      <c r="G828" s="7" t="s">
        <v>27</v>
      </c>
      <c r="H828" s="7" t="s">
        <v>3930</v>
      </c>
      <c r="I828" s="7" t="s">
        <v>3931</v>
      </c>
      <c r="J828" s="8">
        <f>74952120000</f>
      </c>
      <c r="K828" s="8">
        <v>5552</v>
      </c>
      <c r="L828" s="7" t="s">
        <v>2034</v>
      </c>
      <c r="M828" s="8">
        <v>141</v>
      </c>
      <c r="N828" s="7" t="s">
        <v>2035</v>
      </c>
      <c r="O828" s="7" t="s">
        <v>510</v>
      </c>
      <c r="P828" s="7" t="s">
        <v>2743</v>
      </c>
      <c r="Q828" s="8" t="s">
        <v>3932</v>
      </c>
      <c r="R828" s="7" t="s">
        <v>33</v>
      </c>
      <c r="S828" s="7" t="s">
        <v>34</v>
      </c>
      <c r="T828" s="10">
        <v>0</v>
      </c>
      <c r="U828" s="7"/>
      <c r="V828" s="10">
        <v>0</v>
      </c>
      <c r="W828" s="7"/>
      <c r="X828" s="10">
        <v>0</v>
      </c>
      <c r="Y828" s="7" t="s">
        <v>59</v>
      </c>
    </row>
    <row x14ac:dyDescent="0.25" r="829" customHeight="1" ht="18.75">
      <c r="A829" s="11">
        <v>74013352</v>
      </c>
      <c r="B829" s="12">
        <v>2056</v>
      </c>
      <c r="C829" s="13" t="s">
        <v>3933</v>
      </c>
      <c r="D829" s="13" t="s">
        <v>3934</v>
      </c>
      <c r="E829" s="14">
        <v>74013352</v>
      </c>
      <c r="F829" s="14">
        <v>2056</v>
      </c>
      <c r="G829" s="13" t="s">
        <v>27</v>
      </c>
      <c r="H829" s="13" t="s">
        <v>3935</v>
      </c>
      <c r="I829" s="13" t="s">
        <v>3936</v>
      </c>
      <c r="J829" s="14">
        <f>74952120000</f>
      </c>
      <c r="K829" s="14">
        <v>5558</v>
      </c>
      <c r="L829" s="13" t="s">
        <v>2034</v>
      </c>
      <c r="M829" s="14">
        <v>141</v>
      </c>
      <c r="N829" s="13" t="s">
        <v>2035</v>
      </c>
      <c r="O829" s="13" t="s">
        <v>510</v>
      </c>
      <c r="P829" s="13" t="s">
        <v>2743</v>
      </c>
      <c r="Q829" s="14" t="s">
        <v>3937</v>
      </c>
      <c r="R829" s="13" t="s">
        <v>33</v>
      </c>
      <c r="S829" s="13" t="s">
        <v>34</v>
      </c>
      <c r="T829" s="15">
        <v>0</v>
      </c>
      <c r="U829" s="13"/>
      <c r="V829" s="15">
        <v>0</v>
      </c>
      <c r="W829" s="13"/>
      <c r="X829" s="15">
        <v>0</v>
      </c>
      <c r="Y829" s="13" t="s">
        <v>37</v>
      </c>
    </row>
    <row x14ac:dyDescent="0.25" r="830" customHeight="1" ht="18.75">
      <c r="A830" s="5">
        <v>74013416</v>
      </c>
      <c r="B830" s="6">
        <v>2058</v>
      </c>
      <c r="C830" s="7" t="s">
        <v>3938</v>
      </c>
      <c r="D830" s="7" t="s">
        <v>3939</v>
      </c>
      <c r="E830" s="8">
        <v>74013416</v>
      </c>
      <c r="F830" s="8">
        <v>2058</v>
      </c>
      <c r="G830" s="7" t="s">
        <v>27</v>
      </c>
      <c r="H830" s="7" t="s">
        <v>3940</v>
      </c>
      <c r="I830" s="7" t="s">
        <v>3941</v>
      </c>
      <c r="J830" s="8">
        <f>74952120000</f>
      </c>
      <c r="K830" s="8">
        <v>5138</v>
      </c>
      <c r="L830" s="7" t="s">
        <v>2034</v>
      </c>
      <c r="M830" s="8">
        <v>141</v>
      </c>
      <c r="N830" s="7" t="s">
        <v>2035</v>
      </c>
      <c r="O830" s="7" t="s">
        <v>32</v>
      </c>
      <c r="P830" s="7" t="s">
        <v>32</v>
      </c>
      <c r="Q830" s="8" t="s">
        <v>3939</v>
      </c>
      <c r="R830" s="7" t="s">
        <v>33</v>
      </c>
      <c r="S830" s="7" t="s">
        <v>34</v>
      </c>
      <c r="T830" s="10">
        <v>0</v>
      </c>
      <c r="U830" s="7"/>
      <c r="V830" s="10">
        <v>0</v>
      </c>
      <c r="W830" s="7"/>
      <c r="X830" s="10">
        <v>0</v>
      </c>
      <c r="Y830" s="7" t="s">
        <v>59</v>
      </c>
    </row>
    <row x14ac:dyDescent="0.25" r="831" customHeight="1" ht="18.75">
      <c r="A831" s="11">
        <v>74013283</v>
      </c>
      <c r="B831" s="12">
        <v>2062</v>
      </c>
      <c r="C831" s="13" t="s">
        <v>3942</v>
      </c>
      <c r="D831" s="13" t="s">
        <v>3943</v>
      </c>
      <c r="E831" s="14">
        <v>74013283</v>
      </c>
      <c r="F831" s="14">
        <v>2062</v>
      </c>
      <c r="G831" s="13" t="s">
        <v>27</v>
      </c>
      <c r="H831" s="13" t="s">
        <v>3944</v>
      </c>
      <c r="I831" s="13" t="s">
        <v>3945</v>
      </c>
      <c r="J831" s="14">
        <f>74952120000</f>
      </c>
      <c r="K831" s="14">
        <v>5018</v>
      </c>
      <c r="L831" s="13" t="s">
        <v>2034</v>
      </c>
      <c r="M831" s="14">
        <v>141</v>
      </c>
      <c r="N831" s="13" t="s">
        <v>2035</v>
      </c>
      <c r="O831" s="13" t="s">
        <v>82</v>
      </c>
      <c r="P831" s="13" t="s">
        <v>268</v>
      </c>
      <c r="Q831" s="14" t="s">
        <v>3946</v>
      </c>
      <c r="R831" s="13" t="s">
        <v>33</v>
      </c>
      <c r="S831" s="13" t="s">
        <v>34</v>
      </c>
      <c r="T831" s="15">
        <v>0</v>
      </c>
      <c r="U831" s="13"/>
      <c r="V831" s="15">
        <v>0</v>
      </c>
      <c r="W831" s="13"/>
      <c r="X831" s="15">
        <v>0</v>
      </c>
      <c r="Y831" s="13" t="s">
        <v>59</v>
      </c>
    </row>
    <row x14ac:dyDescent="0.25" r="832" customHeight="1" ht="18.75">
      <c r="A832" s="5">
        <v>74013922</v>
      </c>
      <c r="B832" s="6">
        <v>2065</v>
      </c>
      <c r="C832" s="7" t="s">
        <v>3947</v>
      </c>
      <c r="D832" s="7" t="s">
        <v>3948</v>
      </c>
      <c r="E832" s="8">
        <v>74013922</v>
      </c>
      <c r="F832" s="8">
        <v>2065</v>
      </c>
      <c r="G832" s="7" t="s">
        <v>27</v>
      </c>
      <c r="H832" s="7" t="s">
        <v>3949</v>
      </c>
      <c r="I832" s="7" t="s">
        <v>3950</v>
      </c>
      <c r="J832" s="8">
        <f>74952120000</f>
      </c>
      <c r="K832" s="8">
        <v>5020</v>
      </c>
      <c r="L832" s="7" t="s">
        <v>2034</v>
      </c>
      <c r="M832" s="8">
        <v>141</v>
      </c>
      <c r="N832" s="7" t="s">
        <v>2035</v>
      </c>
      <c r="O832" s="7" t="s">
        <v>32</v>
      </c>
      <c r="P832" s="7" t="s">
        <v>32</v>
      </c>
      <c r="Q832" s="8" t="s">
        <v>3951</v>
      </c>
      <c r="R832" s="7" t="s">
        <v>33</v>
      </c>
      <c r="S832" s="7" t="s">
        <v>34</v>
      </c>
      <c r="T832" s="10">
        <v>0</v>
      </c>
      <c r="U832" s="7"/>
      <c r="V832" s="10">
        <v>0</v>
      </c>
      <c r="W832" s="7"/>
      <c r="X832" s="10">
        <v>0</v>
      </c>
      <c r="Y832" s="7" t="s">
        <v>59</v>
      </c>
    </row>
    <row x14ac:dyDescent="0.25" r="833" customHeight="1" ht="18.75">
      <c r="A833" s="11">
        <v>74014084</v>
      </c>
      <c r="B833" s="12">
        <v>2066</v>
      </c>
      <c r="C833" s="13" t="s">
        <v>3952</v>
      </c>
      <c r="D833" s="13" t="s">
        <v>3953</v>
      </c>
      <c r="E833" s="14">
        <v>74014084</v>
      </c>
      <c r="F833" s="14">
        <v>2066</v>
      </c>
      <c r="G833" s="13" t="s">
        <v>27</v>
      </c>
      <c r="H833" s="13" t="s">
        <v>3954</v>
      </c>
      <c r="I833" s="13" t="s">
        <v>3955</v>
      </c>
      <c r="J833" s="14">
        <f>74952120000</f>
      </c>
      <c r="K833" s="14">
        <v>5022</v>
      </c>
      <c r="L833" s="13" t="s">
        <v>2034</v>
      </c>
      <c r="M833" s="14">
        <v>141</v>
      </c>
      <c r="N833" s="13" t="s">
        <v>2035</v>
      </c>
      <c r="O833" s="13" t="s">
        <v>82</v>
      </c>
      <c r="P833" s="13" t="s">
        <v>3777</v>
      </c>
      <c r="Q833" s="14" t="s">
        <v>3956</v>
      </c>
      <c r="R833" s="13" t="s">
        <v>33</v>
      </c>
      <c r="S833" s="13" t="s">
        <v>34</v>
      </c>
      <c r="T833" s="15">
        <v>0</v>
      </c>
      <c r="U833" s="13"/>
      <c r="V833" s="15">
        <v>0</v>
      </c>
      <c r="W833" s="13"/>
      <c r="X833" s="15">
        <v>0</v>
      </c>
      <c r="Y833" s="13" t="s">
        <v>59</v>
      </c>
    </row>
    <row x14ac:dyDescent="0.25" r="834" customHeight="1" ht="18.75">
      <c r="A834" s="5">
        <v>74014086</v>
      </c>
      <c r="B834" s="6">
        <v>2068</v>
      </c>
      <c r="C834" s="7" t="s">
        <v>3957</v>
      </c>
      <c r="D834" s="7" t="s">
        <v>3958</v>
      </c>
      <c r="E834" s="8">
        <v>74014086</v>
      </c>
      <c r="F834" s="8">
        <v>2068</v>
      </c>
      <c r="G834" s="7" t="s">
        <v>27</v>
      </c>
      <c r="H834" s="7" t="s">
        <v>3959</v>
      </c>
      <c r="I834" s="7" t="s">
        <v>3960</v>
      </c>
      <c r="J834" s="8">
        <f>74952120000</f>
      </c>
      <c r="K834" s="8">
        <v>5024</v>
      </c>
      <c r="L834" s="7" t="s">
        <v>2034</v>
      </c>
      <c r="M834" s="8">
        <v>141</v>
      </c>
      <c r="N834" s="7" t="s">
        <v>2035</v>
      </c>
      <c r="O834" s="7" t="s">
        <v>82</v>
      </c>
      <c r="P834" s="7" t="s">
        <v>2363</v>
      </c>
      <c r="Q834" s="8" t="s">
        <v>3961</v>
      </c>
      <c r="R834" s="7" t="s">
        <v>33</v>
      </c>
      <c r="S834" s="7" t="s">
        <v>34</v>
      </c>
      <c r="T834" s="10">
        <v>0</v>
      </c>
      <c r="U834" s="7"/>
      <c r="V834" s="10">
        <v>0</v>
      </c>
      <c r="W834" s="7"/>
      <c r="X834" s="10">
        <v>0</v>
      </c>
      <c r="Y834" s="7" t="s">
        <v>37</v>
      </c>
    </row>
    <row x14ac:dyDescent="0.25" r="835" customHeight="1" ht="18.75">
      <c r="A835" s="11">
        <v>74014316</v>
      </c>
      <c r="B835" s="12">
        <v>2069</v>
      </c>
      <c r="C835" s="13" t="s">
        <v>3962</v>
      </c>
      <c r="D835" s="13" t="s">
        <v>3963</v>
      </c>
      <c r="E835" s="14">
        <v>74014316</v>
      </c>
      <c r="F835" s="14">
        <v>2069</v>
      </c>
      <c r="G835" s="13" t="s">
        <v>27</v>
      </c>
      <c r="H835" s="13" t="s">
        <v>3964</v>
      </c>
      <c r="I835" s="13" t="s">
        <v>3965</v>
      </c>
      <c r="J835" s="14">
        <f>74952120000</f>
      </c>
      <c r="K835" s="14">
        <v>5026</v>
      </c>
      <c r="L835" s="13" t="s">
        <v>2034</v>
      </c>
      <c r="M835" s="14">
        <v>141</v>
      </c>
      <c r="N835" s="13" t="s">
        <v>2035</v>
      </c>
      <c r="O835" s="13" t="s">
        <v>32</v>
      </c>
      <c r="P835" s="13" t="s">
        <v>32</v>
      </c>
      <c r="Q835" s="14" t="s">
        <v>3966</v>
      </c>
      <c r="R835" s="13" t="s">
        <v>33</v>
      </c>
      <c r="S835" s="13" t="s">
        <v>34</v>
      </c>
      <c r="T835" s="15">
        <v>0</v>
      </c>
      <c r="U835" s="13"/>
      <c r="V835" s="15">
        <v>0</v>
      </c>
      <c r="W835" s="13"/>
      <c r="X835" s="15">
        <v>0</v>
      </c>
      <c r="Y835" s="13" t="s">
        <v>59</v>
      </c>
    </row>
    <row x14ac:dyDescent="0.25" r="836" customHeight="1" ht="18.75">
      <c r="A836" s="5">
        <v>74015171</v>
      </c>
      <c r="B836" s="6">
        <v>2078</v>
      </c>
      <c r="C836" s="7" t="s">
        <v>3967</v>
      </c>
      <c r="D836" s="7" t="s">
        <v>3968</v>
      </c>
      <c r="E836" s="8">
        <v>74015171</v>
      </c>
      <c r="F836" s="8">
        <v>2078</v>
      </c>
      <c r="G836" s="7" t="s">
        <v>27</v>
      </c>
      <c r="H836" s="7" t="s">
        <v>3969</v>
      </c>
      <c r="I836" s="7" t="s">
        <v>3970</v>
      </c>
      <c r="J836" s="7" t="s">
        <v>3971</v>
      </c>
      <c r="K836" s="8">
        <v>5034</v>
      </c>
      <c r="L836" s="7" t="s">
        <v>2034</v>
      </c>
      <c r="M836" s="8">
        <v>141</v>
      </c>
      <c r="N836" s="7" t="s">
        <v>2035</v>
      </c>
      <c r="O836" s="7" t="s">
        <v>32</v>
      </c>
      <c r="P836" s="7" t="s">
        <v>32</v>
      </c>
      <c r="Q836" s="8" t="s">
        <v>3972</v>
      </c>
      <c r="R836" s="7" t="s">
        <v>33</v>
      </c>
      <c r="S836" s="7" t="s">
        <v>34</v>
      </c>
      <c r="T836" s="10">
        <v>0</v>
      </c>
      <c r="U836" s="7"/>
      <c r="V836" s="10">
        <v>0</v>
      </c>
      <c r="W836" s="7"/>
      <c r="X836" s="10">
        <v>0</v>
      </c>
      <c r="Y836" s="7" t="s">
        <v>59</v>
      </c>
    </row>
    <row x14ac:dyDescent="0.25" r="837" customHeight="1" ht="18.75">
      <c r="A837" s="11">
        <v>74013270</v>
      </c>
      <c r="B837" s="12">
        <v>2090</v>
      </c>
      <c r="C837" s="13" t="s">
        <v>3973</v>
      </c>
      <c r="D837" s="13" t="s">
        <v>3974</v>
      </c>
      <c r="E837" s="14">
        <v>74013270</v>
      </c>
      <c r="F837" s="14">
        <v>2090</v>
      </c>
      <c r="G837" s="13" t="s">
        <v>27</v>
      </c>
      <c r="H837" s="13" t="s">
        <v>3975</v>
      </c>
      <c r="I837" s="13" t="s">
        <v>3976</v>
      </c>
      <c r="J837" s="14">
        <f>74952120000</f>
      </c>
      <c r="K837" s="14">
        <v>5004</v>
      </c>
      <c r="L837" s="13" t="s">
        <v>2034</v>
      </c>
      <c r="M837" s="14">
        <v>141</v>
      </c>
      <c r="N837" s="13" t="s">
        <v>2035</v>
      </c>
      <c r="O837" s="13" t="s">
        <v>32</v>
      </c>
      <c r="P837" s="13" t="s">
        <v>32</v>
      </c>
      <c r="Q837" s="14" t="s">
        <v>3977</v>
      </c>
      <c r="R837" s="13" t="s">
        <v>33</v>
      </c>
      <c r="S837" s="13" t="s">
        <v>34</v>
      </c>
      <c r="T837" s="15">
        <v>0</v>
      </c>
      <c r="U837" s="13"/>
      <c r="V837" s="15">
        <v>0</v>
      </c>
      <c r="W837" s="13"/>
      <c r="X837" s="15">
        <v>0</v>
      </c>
      <c r="Y837" s="13" t="s">
        <v>37</v>
      </c>
    </row>
    <row x14ac:dyDescent="0.25" r="838" customHeight="1" ht="18.75">
      <c r="A838" s="5">
        <v>74020416</v>
      </c>
      <c r="B838" s="6">
        <v>2091</v>
      </c>
      <c r="C838" s="7" t="s">
        <v>3978</v>
      </c>
      <c r="D838" s="7" t="s">
        <v>3979</v>
      </c>
      <c r="E838" s="8">
        <v>74020416</v>
      </c>
      <c r="F838" s="8">
        <v>2091</v>
      </c>
      <c r="G838" s="7" t="s">
        <v>27</v>
      </c>
      <c r="H838" s="7" t="s">
        <v>3980</v>
      </c>
      <c r="I838" s="7" t="s">
        <v>3981</v>
      </c>
      <c r="J838" s="8">
        <f>74952120000</f>
      </c>
      <c r="K838" s="8">
        <v>5554</v>
      </c>
      <c r="L838" s="7" t="s">
        <v>2034</v>
      </c>
      <c r="M838" s="8">
        <v>141</v>
      </c>
      <c r="N838" s="7" t="s">
        <v>2035</v>
      </c>
      <c r="O838" s="7" t="s">
        <v>510</v>
      </c>
      <c r="P838" s="7" t="s">
        <v>2743</v>
      </c>
      <c r="Q838" s="8" t="s">
        <v>3979</v>
      </c>
      <c r="R838" s="7" t="s">
        <v>33</v>
      </c>
      <c r="S838" s="7" t="s">
        <v>34</v>
      </c>
      <c r="T838" s="10">
        <v>0</v>
      </c>
      <c r="U838" s="7"/>
      <c r="V838" s="10">
        <v>0</v>
      </c>
      <c r="W838" s="7"/>
      <c r="X838" s="10">
        <v>0</v>
      </c>
      <c r="Y838" s="7" t="s">
        <v>59</v>
      </c>
    </row>
    <row x14ac:dyDescent="0.25" r="839" customHeight="1" ht="18.75">
      <c r="A839" s="11">
        <v>74020430</v>
      </c>
      <c r="B839" s="12">
        <v>2092</v>
      </c>
      <c r="C839" s="13" t="s">
        <v>3982</v>
      </c>
      <c r="D839" s="13" t="s">
        <v>3983</v>
      </c>
      <c r="E839" s="14">
        <v>74020430</v>
      </c>
      <c r="F839" s="14">
        <v>2092</v>
      </c>
      <c r="G839" s="13" t="s">
        <v>27</v>
      </c>
      <c r="H839" s="13" t="s">
        <v>3984</v>
      </c>
      <c r="I839" s="13" t="s">
        <v>3985</v>
      </c>
      <c r="J839" s="14">
        <f>74952120000</f>
      </c>
      <c r="K839" s="14">
        <v>5046</v>
      </c>
      <c r="L839" s="13" t="s">
        <v>2034</v>
      </c>
      <c r="M839" s="14">
        <v>141</v>
      </c>
      <c r="N839" s="13" t="s">
        <v>2035</v>
      </c>
      <c r="O839" s="13" t="s">
        <v>82</v>
      </c>
      <c r="P839" s="13" t="s">
        <v>3986</v>
      </c>
      <c r="Q839" s="14" t="s">
        <v>3987</v>
      </c>
      <c r="R839" s="13" t="s">
        <v>33</v>
      </c>
      <c r="S839" s="13" t="s">
        <v>34</v>
      </c>
      <c r="T839" s="15">
        <v>0</v>
      </c>
      <c r="U839" s="13"/>
      <c r="V839" s="15">
        <v>0</v>
      </c>
      <c r="W839" s="13"/>
      <c r="X839" s="15">
        <v>0</v>
      </c>
      <c r="Y839" s="13" t="s">
        <v>59</v>
      </c>
    </row>
    <row x14ac:dyDescent="0.25" r="840" customHeight="1" ht="18.75">
      <c r="A840" s="5">
        <v>74021641</v>
      </c>
      <c r="B840" s="6">
        <v>2191</v>
      </c>
      <c r="C840" s="7" t="s">
        <v>3988</v>
      </c>
      <c r="D840" s="7" t="s">
        <v>3989</v>
      </c>
      <c r="E840" s="8">
        <v>74021641</v>
      </c>
      <c r="F840" s="8">
        <v>2191</v>
      </c>
      <c r="G840" s="7" t="s">
        <v>27</v>
      </c>
      <c r="H840" s="7" t="s">
        <v>3990</v>
      </c>
      <c r="I840" s="7" t="s">
        <v>3991</v>
      </c>
      <c r="J840" s="8">
        <f>73012569625</f>
      </c>
      <c r="K840" s="8">
        <v>3301</v>
      </c>
      <c r="L840" s="7" t="s">
        <v>508</v>
      </c>
      <c r="M840" s="8">
        <v>100000</v>
      </c>
      <c r="N840" s="7" t="s">
        <v>1755</v>
      </c>
      <c r="O840" s="7" t="s">
        <v>73</v>
      </c>
      <c r="P840" s="7" t="s">
        <v>3992</v>
      </c>
      <c r="Q840" s="8" t="s">
        <v>1742</v>
      </c>
      <c r="R840" s="7" t="s">
        <v>33</v>
      </c>
      <c r="S840" s="7" t="s">
        <v>47</v>
      </c>
      <c r="T840" s="10">
        <v>3</v>
      </c>
      <c r="U840" s="7"/>
      <c r="V840" s="10">
        <v>0</v>
      </c>
      <c r="W840" s="7" t="s">
        <v>48</v>
      </c>
      <c r="X840" s="10" t="s">
        <v>65</v>
      </c>
      <c r="Y840" s="7" t="s">
        <v>59</v>
      </c>
    </row>
    <row x14ac:dyDescent="0.25" r="841" customHeight="1" ht="18.75">
      <c r="A841" s="11">
        <v>74021642</v>
      </c>
      <c r="B841" s="12">
        <v>2193</v>
      </c>
      <c r="C841" s="13" t="s">
        <v>3993</v>
      </c>
      <c r="D841" s="13" t="s">
        <v>3994</v>
      </c>
      <c r="E841" s="14">
        <v>74021642</v>
      </c>
      <c r="F841" s="14">
        <v>2193</v>
      </c>
      <c r="G841" s="13" t="s">
        <v>27</v>
      </c>
      <c r="H841" s="13" t="s">
        <v>3995</v>
      </c>
      <c r="I841" s="13" t="s">
        <v>3996</v>
      </c>
      <c r="J841" s="14">
        <f>79064188547</f>
      </c>
      <c r="K841" s="9"/>
      <c r="L841" s="13" t="s">
        <v>117</v>
      </c>
      <c r="M841" s="14">
        <v>210</v>
      </c>
      <c r="N841" s="13" t="s">
        <v>118</v>
      </c>
      <c r="O841" s="13" t="s">
        <v>119</v>
      </c>
      <c r="P841" s="13" t="s">
        <v>120</v>
      </c>
      <c r="Q841" s="14" t="s">
        <v>58</v>
      </c>
      <c r="R841" s="13" t="s">
        <v>33</v>
      </c>
      <c r="S841" s="13" t="s">
        <v>47</v>
      </c>
      <c r="T841" s="15">
        <v>4</v>
      </c>
      <c r="U841" s="13"/>
      <c r="V841" s="15">
        <v>0</v>
      </c>
      <c r="W841" s="13" t="s">
        <v>48</v>
      </c>
      <c r="X841" s="15" t="s">
        <v>65</v>
      </c>
      <c r="Y841" s="13" t="s">
        <v>59</v>
      </c>
    </row>
    <row x14ac:dyDescent="0.25" r="842" customHeight="1" ht="18.75">
      <c r="A842" s="5">
        <v>74021643</v>
      </c>
      <c r="B842" s="6">
        <v>2194</v>
      </c>
      <c r="C842" s="7" t="s">
        <v>3997</v>
      </c>
      <c r="D842" s="7" t="s">
        <v>3998</v>
      </c>
      <c r="E842" s="8">
        <v>74021643</v>
      </c>
      <c r="F842" s="8">
        <v>2194</v>
      </c>
      <c r="G842" s="7" t="s">
        <v>27</v>
      </c>
      <c r="H842" s="7" t="s">
        <v>3999</v>
      </c>
      <c r="I842" s="7" t="s">
        <v>4000</v>
      </c>
      <c r="J842" s="8">
        <f>74952120000</f>
      </c>
      <c r="K842" s="8">
        <v>5111</v>
      </c>
      <c r="L842" s="7" t="s">
        <v>2034</v>
      </c>
      <c r="M842" s="8">
        <v>141</v>
      </c>
      <c r="N842" s="7" t="s">
        <v>2035</v>
      </c>
      <c r="O842" s="7" t="s">
        <v>82</v>
      </c>
      <c r="P842" s="7" t="s">
        <v>4001</v>
      </c>
      <c r="Q842" s="8" t="s">
        <v>4002</v>
      </c>
      <c r="R842" s="7" t="s">
        <v>33</v>
      </c>
      <c r="S842" s="7" t="s">
        <v>47</v>
      </c>
      <c r="T842" s="10">
        <v>3</v>
      </c>
      <c r="U842" s="7"/>
      <c r="V842" s="10">
        <v>0</v>
      </c>
      <c r="W842" s="7"/>
      <c r="X842" s="10">
        <v>0</v>
      </c>
      <c r="Y842" s="7" t="s">
        <v>37</v>
      </c>
    </row>
    <row x14ac:dyDescent="0.25" r="843" customHeight="1" ht="18.75">
      <c r="A843" s="11">
        <v>74021647</v>
      </c>
      <c r="B843" s="12">
        <v>2204</v>
      </c>
      <c r="C843" s="13" t="s">
        <v>4003</v>
      </c>
      <c r="D843" s="13" t="s">
        <v>4004</v>
      </c>
      <c r="E843" s="14">
        <v>74021647</v>
      </c>
      <c r="F843" s="14">
        <v>2204</v>
      </c>
      <c r="G843" s="13" t="s">
        <v>27</v>
      </c>
      <c r="H843" s="13" t="s">
        <v>4005</v>
      </c>
      <c r="I843" s="13" t="s">
        <v>4006</v>
      </c>
      <c r="J843" s="14">
        <f>79661684110</f>
      </c>
      <c r="K843" s="9"/>
      <c r="L843" s="13" t="s">
        <v>30</v>
      </c>
      <c r="M843" s="14">
        <v>56</v>
      </c>
      <c r="N843" s="13" t="s">
        <v>31</v>
      </c>
      <c r="O843" s="13" t="s">
        <v>232</v>
      </c>
      <c r="P843" s="13" t="s">
        <v>4007</v>
      </c>
      <c r="Q843" s="14" t="s">
        <v>58</v>
      </c>
      <c r="R843" s="13" t="s">
        <v>33</v>
      </c>
      <c r="S843" s="13" t="s">
        <v>47</v>
      </c>
      <c r="T843" s="15">
        <v>3</v>
      </c>
      <c r="U843" s="13"/>
      <c r="V843" s="15">
        <v>0</v>
      </c>
      <c r="W843" s="13" t="s">
        <v>48</v>
      </c>
      <c r="X843" s="15" t="s">
        <v>65</v>
      </c>
      <c r="Y843" s="13" t="s">
        <v>59</v>
      </c>
    </row>
    <row x14ac:dyDescent="0.25" r="844" customHeight="1" ht="18.75">
      <c r="A844" s="5">
        <v>74021648</v>
      </c>
      <c r="B844" s="6">
        <v>2205</v>
      </c>
      <c r="C844" s="7" t="s">
        <v>4008</v>
      </c>
      <c r="D844" s="7" t="s">
        <v>4009</v>
      </c>
      <c r="E844" s="8">
        <v>74021648</v>
      </c>
      <c r="F844" s="8">
        <v>2205</v>
      </c>
      <c r="G844" s="7" t="s">
        <v>27</v>
      </c>
      <c r="H844" s="7" t="s">
        <v>4010</v>
      </c>
      <c r="I844" s="7" t="s">
        <v>4011</v>
      </c>
      <c r="J844" s="8">
        <f>79661684131</f>
      </c>
      <c r="K844" s="9"/>
      <c r="L844" s="7" t="s">
        <v>30</v>
      </c>
      <c r="M844" s="8">
        <v>56</v>
      </c>
      <c r="N844" s="7" t="s">
        <v>31</v>
      </c>
      <c r="O844" s="7" t="s">
        <v>232</v>
      </c>
      <c r="P844" s="7" t="s">
        <v>4012</v>
      </c>
      <c r="Q844" s="8" t="s">
        <v>58</v>
      </c>
      <c r="R844" s="7" t="s">
        <v>33</v>
      </c>
      <c r="S844" s="7" t="s">
        <v>47</v>
      </c>
      <c r="T844" s="10">
        <v>3</v>
      </c>
      <c r="U844" s="7"/>
      <c r="V844" s="10">
        <v>0</v>
      </c>
      <c r="W844" s="7" t="s">
        <v>48</v>
      </c>
      <c r="X844" s="10" t="s">
        <v>65</v>
      </c>
      <c r="Y844" s="7" t="s">
        <v>126</v>
      </c>
    </row>
    <row x14ac:dyDescent="0.25" r="845" customHeight="1" ht="18.75">
      <c r="A845" s="11">
        <v>74021649</v>
      </c>
      <c r="B845" s="12">
        <v>2206</v>
      </c>
      <c r="C845" s="13" t="s">
        <v>4013</v>
      </c>
      <c r="D845" s="13" t="s">
        <v>4014</v>
      </c>
      <c r="E845" s="14">
        <v>74021649</v>
      </c>
      <c r="F845" s="14">
        <v>2206</v>
      </c>
      <c r="G845" s="13" t="s">
        <v>27</v>
      </c>
      <c r="H845" s="13" t="s">
        <v>4015</v>
      </c>
      <c r="I845" s="13" t="s">
        <v>4016</v>
      </c>
      <c r="J845" s="14">
        <f>79636300472</f>
      </c>
      <c r="K845" s="9"/>
      <c r="L845" s="13" t="s">
        <v>30</v>
      </c>
      <c r="M845" s="14">
        <v>56</v>
      </c>
      <c r="N845" s="13" t="s">
        <v>31</v>
      </c>
      <c r="O845" s="13" t="s">
        <v>32</v>
      </c>
      <c r="P845" s="13" t="s">
        <v>32</v>
      </c>
      <c r="Q845" s="14" t="s">
        <v>58</v>
      </c>
      <c r="R845" s="13" t="s">
        <v>33</v>
      </c>
      <c r="S845" s="13" t="s">
        <v>47</v>
      </c>
      <c r="T845" s="15">
        <v>5</v>
      </c>
      <c r="U845" s="13"/>
      <c r="V845" s="15">
        <v>0</v>
      </c>
      <c r="W845" s="13" t="s">
        <v>48</v>
      </c>
      <c r="X845" s="15" t="s">
        <v>36</v>
      </c>
      <c r="Y845" s="13" t="s">
        <v>126</v>
      </c>
    </row>
    <row x14ac:dyDescent="0.25" r="846" customHeight="1" ht="18.75">
      <c r="A846" s="5">
        <v>74021650</v>
      </c>
      <c r="B846" s="6">
        <v>2211</v>
      </c>
      <c r="C846" s="7" t="s">
        <v>4017</v>
      </c>
      <c r="D846" s="7" t="s">
        <v>4018</v>
      </c>
      <c r="E846" s="8">
        <v>74021650</v>
      </c>
      <c r="F846" s="8">
        <v>2211</v>
      </c>
      <c r="G846" s="7" t="s">
        <v>27</v>
      </c>
      <c r="H846" s="7" t="s">
        <v>4019</v>
      </c>
      <c r="I846" s="7" t="s">
        <v>4020</v>
      </c>
      <c r="J846" s="8">
        <f>79661684124</f>
      </c>
      <c r="K846" s="9"/>
      <c r="L846" s="7" t="s">
        <v>30</v>
      </c>
      <c r="M846" s="8">
        <v>56</v>
      </c>
      <c r="N846" s="7" t="s">
        <v>31</v>
      </c>
      <c r="O846" s="7" t="s">
        <v>44</v>
      </c>
      <c r="P846" s="7" t="s">
        <v>4021</v>
      </c>
      <c r="Q846" s="8" t="s">
        <v>58</v>
      </c>
      <c r="R846" s="7" t="s">
        <v>33</v>
      </c>
      <c r="S846" s="7" t="s">
        <v>47</v>
      </c>
      <c r="T846" s="10">
        <v>3</v>
      </c>
      <c r="U846" s="7"/>
      <c r="V846" s="10">
        <v>0</v>
      </c>
      <c r="W846" s="7" t="s">
        <v>48</v>
      </c>
      <c r="X846" s="10" t="s">
        <v>65</v>
      </c>
      <c r="Y846" s="7" t="s">
        <v>126</v>
      </c>
    </row>
    <row x14ac:dyDescent="0.25" r="847" customHeight="1" ht="18.75">
      <c r="A847" s="11">
        <v>74021651</v>
      </c>
      <c r="B847" s="12">
        <v>2212</v>
      </c>
      <c r="C847" s="13" t="s">
        <v>4022</v>
      </c>
      <c r="D847" s="13" t="s">
        <v>4023</v>
      </c>
      <c r="E847" s="14">
        <v>74021651</v>
      </c>
      <c r="F847" s="14">
        <v>2212</v>
      </c>
      <c r="G847" s="13" t="s">
        <v>27</v>
      </c>
      <c r="H847" s="13" t="s">
        <v>4024</v>
      </c>
      <c r="I847" s="13" t="s">
        <v>4025</v>
      </c>
      <c r="J847" s="14">
        <f>79259543631</f>
      </c>
      <c r="K847" s="9"/>
      <c r="L847" s="13" t="s">
        <v>544</v>
      </c>
      <c r="M847" s="14">
        <v>74</v>
      </c>
      <c r="N847" s="13" t="s">
        <v>545</v>
      </c>
      <c r="O847" s="13" t="s">
        <v>32</v>
      </c>
      <c r="P847" s="13" t="s">
        <v>32</v>
      </c>
      <c r="Q847" s="14" t="s">
        <v>58</v>
      </c>
      <c r="R847" s="13" t="s">
        <v>33</v>
      </c>
      <c r="S847" s="13" t="s">
        <v>47</v>
      </c>
      <c r="T847" s="15">
        <v>3</v>
      </c>
      <c r="U847" s="13"/>
      <c r="V847" s="15">
        <v>0</v>
      </c>
      <c r="W847" s="13" t="s">
        <v>48</v>
      </c>
      <c r="X847" s="15" t="s">
        <v>472</v>
      </c>
      <c r="Y847" s="13" t="s">
        <v>59</v>
      </c>
    </row>
    <row x14ac:dyDescent="0.25" r="848" customHeight="1" ht="18.75">
      <c r="A848" s="5">
        <v>74021653</v>
      </c>
      <c r="B848" s="6">
        <v>2214</v>
      </c>
      <c r="C848" s="7" t="s">
        <v>4026</v>
      </c>
      <c r="D848" s="7" t="s">
        <v>4027</v>
      </c>
      <c r="E848" s="8">
        <v>74021653</v>
      </c>
      <c r="F848" s="8">
        <v>2214</v>
      </c>
      <c r="G848" s="7" t="s">
        <v>27</v>
      </c>
      <c r="H848" s="7" t="s">
        <v>4028</v>
      </c>
      <c r="I848" s="7" t="s">
        <v>4029</v>
      </c>
      <c r="J848" s="8">
        <f>79283300123</f>
      </c>
      <c r="K848" s="9"/>
      <c r="L848" s="7" t="s">
        <v>54</v>
      </c>
      <c r="M848" s="8">
        <v>188</v>
      </c>
      <c r="N848" s="7" t="s">
        <v>55</v>
      </c>
      <c r="O848" s="7" t="s">
        <v>119</v>
      </c>
      <c r="P848" s="7" t="s">
        <v>1045</v>
      </c>
      <c r="Q848" s="8" t="s">
        <v>58</v>
      </c>
      <c r="R848" s="7" t="s">
        <v>33</v>
      </c>
      <c r="S848" s="7" t="s">
        <v>47</v>
      </c>
      <c r="T848" s="10">
        <v>2</v>
      </c>
      <c r="U848" s="7"/>
      <c r="V848" s="10">
        <v>0</v>
      </c>
      <c r="W848" s="7" t="s">
        <v>48</v>
      </c>
      <c r="X848" s="10" t="s">
        <v>36</v>
      </c>
      <c r="Y848" s="7" t="s">
        <v>37</v>
      </c>
    </row>
    <row x14ac:dyDescent="0.25" r="849" customHeight="1" ht="18.75">
      <c r="A849" s="11">
        <v>74021654</v>
      </c>
      <c r="B849" s="12">
        <v>2215</v>
      </c>
      <c r="C849" s="13" t="s">
        <v>4030</v>
      </c>
      <c r="D849" s="13" t="s">
        <v>4031</v>
      </c>
      <c r="E849" s="14">
        <v>74021654</v>
      </c>
      <c r="F849" s="14">
        <v>2215</v>
      </c>
      <c r="G849" s="13" t="s">
        <v>27</v>
      </c>
      <c r="H849" s="13" t="s">
        <v>4032</v>
      </c>
      <c r="I849" s="13" t="s">
        <v>4033</v>
      </c>
      <c r="J849" s="14">
        <f>79636300385</f>
      </c>
      <c r="K849" s="9"/>
      <c r="L849" s="13" t="s">
        <v>30</v>
      </c>
      <c r="M849" s="14">
        <v>56</v>
      </c>
      <c r="N849" s="13" t="s">
        <v>31</v>
      </c>
      <c r="O849" s="13" t="s">
        <v>32</v>
      </c>
      <c r="P849" s="13" t="s">
        <v>32</v>
      </c>
      <c r="Q849" s="14" t="s">
        <v>58</v>
      </c>
      <c r="R849" s="13" t="s">
        <v>33</v>
      </c>
      <c r="S849" s="13" t="s">
        <v>47</v>
      </c>
      <c r="T849" s="15">
        <v>3</v>
      </c>
      <c r="U849" s="13"/>
      <c r="V849" s="15">
        <v>0</v>
      </c>
      <c r="W849" s="13" t="s">
        <v>48</v>
      </c>
      <c r="X849" s="15" t="s">
        <v>36</v>
      </c>
      <c r="Y849" s="13" t="s">
        <v>59</v>
      </c>
    </row>
    <row x14ac:dyDescent="0.25" r="850" customHeight="1" ht="18.75">
      <c r="A850" s="5">
        <v>74321658</v>
      </c>
      <c r="B850" s="6">
        <v>2231</v>
      </c>
      <c r="C850" s="7" t="s">
        <v>4034</v>
      </c>
      <c r="D850" s="7" t="s">
        <v>4035</v>
      </c>
      <c r="E850" s="8">
        <v>74321658</v>
      </c>
      <c r="F850" s="8">
        <v>2231</v>
      </c>
      <c r="G850" s="7" t="s">
        <v>27</v>
      </c>
      <c r="H850" s="7" t="s">
        <v>4036</v>
      </c>
      <c r="I850" s="7" t="s">
        <v>4037</v>
      </c>
      <c r="J850" s="8">
        <f>74952408424</f>
      </c>
      <c r="K850" s="8">
        <v>6501</v>
      </c>
      <c r="L850" s="7" t="s">
        <v>1276</v>
      </c>
      <c r="M850" s="8">
        <v>105</v>
      </c>
      <c r="N850" s="7" t="s">
        <v>1277</v>
      </c>
      <c r="O850" s="7" t="s">
        <v>96</v>
      </c>
      <c r="P850" s="7" t="s">
        <v>2197</v>
      </c>
      <c r="Q850" s="8" t="s">
        <v>182</v>
      </c>
      <c r="R850" s="7" t="s">
        <v>33</v>
      </c>
      <c r="S850" s="7" t="s">
        <v>47</v>
      </c>
      <c r="T850" s="10">
        <v>6</v>
      </c>
      <c r="U850" s="7"/>
      <c r="V850" s="10">
        <v>0</v>
      </c>
      <c r="W850" s="7" t="s">
        <v>48</v>
      </c>
      <c r="X850" s="10" t="s">
        <v>65</v>
      </c>
      <c r="Y850" s="7" t="s">
        <v>59</v>
      </c>
    </row>
    <row x14ac:dyDescent="0.25" r="851" customHeight="1" ht="18.75">
      <c r="A851" s="11">
        <v>74021661</v>
      </c>
      <c r="B851" s="12">
        <v>2234</v>
      </c>
      <c r="C851" s="13" t="s">
        <v>4038</v>
      </c>
      <c r="D851" s="13" t="s">
        <v>4039</v>
      </c>
      <c r="E851" s="14">
        <v>74021661</v>
      </c>
      <c r="F851" s="14">
        <v>2234</v>
      </c>
      <c r="G851" s="13" t="s">
        <v>27</v>
      </c>
      <c r="H851" s="13" t="s">
        <v>4040</v>
      </c>
      <c r="I851" s="13" t="s">
        <v>4041</v>
      </c>
      <c r="J851" s="14">
        <f>74951980923</f>
      </c>
      <c r="K851" s="9"/>
      <c r="L851" s="13" t="s">
        <v>80</v>
      </c>
      <c r="M851" s="14">
        <v>100020</v>
      </c>
      <c r="N851" s="13" t="s">
        <v>4042</v>
      </c>
      <c r="O851" s="13" t="s">
        <v>32</v>
      </c>
      <c r="P851" s="13" t="s">
        <v>32</v>
      </c>
      <c r="Q851" s="14" t="s">
        <v>58</v>
      </c>
      <c r="R851" s="13" t="s">
        <v>33</v>
      </c>
      <c r="S851" s="13" t="s">
        <v>47</v>
      </c>
      <c r="T851" s="15">
        <v>2</v>
      </c>
      <c r="U851" s="13"/>
      <c r="V851" s="15">
        <v>0</v>
      </c>
      <c r="W851" s="13" t="s">
        <v>48</v>
      </c>
      <c r="X851" s="15" t="s">
        <v>65</v>
      </c>
      <c r="Y851" s="13" t="s">
        <v>37</v>
      </c>
    </row>
    <row x14ac:dyDescent="0.25" r="852" customHeight="1" ht="18.75">
      <c r="A852" s="5">
        <v>74321662</v>
      </c>
      <c r="B852" s="6">
        <v>2235</v>
      </c>
      <c r="C852" s="7" t="s">
        <v>4043</v>
      </c>
      <c r="D852" s="7" t="s">
        <v>4044</v>
      </c>
      <c r="E852" s="8">
        <v>74321662</v>
      </c>
      <c r="F852" s="8">
        <v>2235</v>
      </c>
      <c r="G852" s="7" t="s">
        <v>27</v>
      </c>
      <c r="H852" s="7" t="s">
        <v>4045</v>
      </c>
      <c r="I852" s="7" t="s">
        <v>4046</v>
      </c>
      <c r="J852" s="8">
        <f>74952408424</f>
      </c>
      <c r="K852" s="8">
        <v>6500</v>
      </c>
      <c r="L852" s="7" t="s">
        <v>1276</v>
      </c>
      <c r="M852" s="8">
        <v>105</v>
      </c>
      <c r="N852" s="7" t="s">
        <v>1277</v>
      </c>
      <c r="O852" s="7" t="s">
        <v>82</v>
      </c>
      <c r="P852" s="7" t="s">
        <v>2294</v>
      </c>
      <c r="Q852" s="8" t="s">
        <v>58</v>
      </c>
      <c r="R852" s="7" t="s">
        <v>33</v>
      </c>
      <c r="S852" s="7" t="s">
        <v>47</v>
      </c>
      <c r="T852" s="10">
        <v>4</v>
      </c>
      <c r="U852" s="7"/>
      <c r="V852" s="10">
        <v>0</v>
      </c>
      <c r="W852" s="7" t="s">
        <v>48</v>
      </c>
      <c r="X852" s="10" t="s">
        <v>65</v>
      </c>
      <c r="Y852" s="7" t="s">
        <v>59</v>
      </c>
    </row>
    <row x14ac:dyDescent="0.25" r="853" customHeight="1" ht="18.75">
      <c r="A853" s="11">
        <v>74321666</v>
      </c>
      <c r="B853" s="12">
        <v>2239</v>
      </c>
      <c r="C853" s="13" t="s">
        <v>4047</v>
      </c>
      <c r="D853" s="13" t="s">
        <v>4048</v>
      </c>
      <c r="E853" s="14">
        <v>74321666</v>
      </c>
      <c r="F853" s="14">
        <v>2239</v>
      </c>
      <c r="G853" s="13" t="s">
        <v>27</v>
      </c>
      <c r="H853" s="13" t="s">
        <v>4049</v>
      </c>
      <c r="I853" s="13" t="s">
        <v>4050</v>
      </c>
      <c r="J853" s="14">
        <f>74952408424</f>
      </c>
      <c r="K853" s="14">
        <v>6494</v>
      </c>
      <c r="L853" s="13" t="s">
        <v>1276</v>
      </c>
      <c r="M853" s="14">
        <v>105</v>
      </c>
      <c r="N853" s="13" t="s">
        <v>1277</v>
      </c>
      <c r="O853" s="13" t="s">
        <v>32</v>
      </c>
      <c r="P853" s="13" t="s">
        <v>32</v>
      </c>
      <c r="Q853" s="14" t="s">
        <v>58</v>
      </c>
      <c r="R853" s="13" t="s">
        <v>33</v>
      </c>
      <c r="S853" s="13" t="s">
        <v>47</v>
      </c>
      <c r="T853" s="15">
        <v>1</v>
      </c>
      <c r="U853" s="13" t="s">
        <v>35</v>
      </c>
      <c r="V853" s="15" t="s">
        <v>49</v>
      </c>
      <c r="W853" s="13" t="s">
        <v>48</v>
      </c>
      <c r="X853" s="15" t="s">
        <v>36</v>
      </c>
      <c r="Y853" s="13" t="s">
        <v>59</v>
      </c>
    </row>
    <row x14ac:dyDescent="0.25" r="854" customHeight="1" ht="18.75">
      <c r="A854" s="5">
        <v>74321669</v>
      </c>
      <c r="B854" s="6">
        <v>2242</v>
      </c>
      <c r="C854" s="7" t="s">
        <v>4051</v>
      </c>
      <c r="D854" s="7" t="s">
        <v>4052</v>
      </c>
      <c r="E854" s="8">
        <v>74321669</v>
      </c>
      <c r="F854" s="8">
        <v>2242</v>
      </c>
      <c r="G854" s="7" t="s">
        <v>27</v>
      </c>
      <c r="H854" s="7" t="s">
        <v>4053</v>
      </c>
      <c r="I854" s="7" t="s">
        <v>4054</v>
      </c>
      <c r="J854" s="8">
        <f>74952408424</f>
      </c>
      <c r="K854" s="8">
        <v>6541</v>
      </c>
      <c r="L854" s="7" t="s">
        <v>1276</v>
      </c>
      <c r="M854" s="8">
        <v>105</v>
      </c>
      <c r="N854" s="7" t="s">
        <v>1277</v>
      </c>
      <c r="O854" s="7" t="s">
        <v>32</v>
      </c>
      <c r="P854" s="7" t="s">
        <v>32</v>
      </c>
      <c r="Q854" s="8" t="s">
        <v>58</v>
      </c>
      <c r="R854" s="7" t="s">
        <v>33</v>
      </c>
      <c r="S854" s="7" t="s">
        <v>47</v>
      </c>
      <c r="T854" s="10">
        <v>3</v>
      </c>
      <c r="U854" s="7" t="s">
        <v>48</v>
      </c>
      <c r="V854" s="10" t="s">
        <v>49</v>
      </c>
      <c r="W854" s="7" t="s">
        <v>35</v>
      </c>
      <c r="X854" s="10" t="s">
        <v>36</v>
      </c>
      <c r="Y854" s="7" t="s">
        <v>37</v>
      </c>
    </row>
    <row x14ac:dyDescent="0.25" r="855" customHeight="1" ht="18.75">
      <c r="A855" s="11">
        <v>74321670</v>
      </c>
      <c r="B855" s="12">
        <v>2251</v>
      </c>
      <c r="C855" s="13" t="s">
        <v>4055</v>
      </c>
      <c r="D855" s="13" t="s">
        <v>4056</v>
      </c>
      <c r="E855" s="14">
        <v>74321670</v>
      </c>
      <c r="F855" s="14">
        <v>2251</v>
      </c>
      <c r="G855" s="13" t="s">
        <v>27</v>
      </c>
      <c r="H855" s="13" t="s">
        <v>4057</v>
      </c>
      <c r="I855" s="13" t="s">
        <v>4058</v>
      </c>
      <c r="J855" s="14">
        <f>74952408424</f>
      </c>
      <c r="K855" s="14">
        <v>6540</v>
      </c>
      <c r="L855" s="13" t="s">
        <v>1276</v>
      </c>
      <c r="M855" s="14">
        <v>105</v>
      </c>
      <c r="N855" s="13" t="s">
        <v>1277</v>
      </c>
      <c r="O855" s="13" t="s">
        <v>32</v>
      </c>
      <c r="P855" s="13" t="s">
        <v>32</v>
      </c>
      <c r="Q855" s="14" t="s">
        <v>58</v>
      </c>
      <c r="R855" s="13" t="s">
        <v>33</v>
      </c>
      <c r="S855" s="13" t="s">
        <v>47</v>
      </c>
      <c r="T855" s="15">
        <v>4</v>
      </c>
      <c r="U855" s="13" t="s">
        <v>48</v>
      </c>
      <c r="V855" s="15" t="s">
        <v>64</v>
      </c>
      <c r="W855" s="13" t="s">
        <v>48</v>
      </c>
      <c r="X855" s="15" t="s">
        <v>36</v>
      </c>
      <c r="Y855" s="13" t="s">
        <v>37</v>
      </c>
    </row>
    <row x14ac:dyDescent="0.25" r="856" customHeight="1" ht="18.75">
      <c r="A856" s="5">
        <v>74021671</v>
      </c>
      <c r="B856" s="6">
        <v>2252</v>
      </c>
      <c r="C856" s="7" t="s">
        <v>4059</v>
      </c>
      <c r="D856" s="7" t="s">
        <v>4060</v>
      </c>
      <c r="E856" s="8">
        <v>74021671</v>
      </c>
      <c r="F856" s="8">
        <v>2252</v>
      </c>
      <c r="G856" s="7" t="s">
        <v>27</v>
      </c>
      <c r="H856" s="7" t="s">
        <v>4061</v>
      </c>
      <c r="I856" s="7" t="s">
        <v>4062</v>
      </c>
      <c r="J856" s="8">
        <f>79259543642</f>
      </c>
      <c r="K856" s="9"/>
      <c r="L856" s="7" t="s">
        <v>544</v>
      </c>
      <c r="M856" s="8">
        <v>74</v>
      </c>
      <c r="N856" s="7" t="s">
        <v>545</v>
      </c>
      <c r="O856" s="7" t="s">
        <v>32</v>
      </c>
      <c r="P856" s="7" t="s">
        <v>32</v>
      </c>
      <c r="Q856" s="8" t="s">
        <v>58</v>
      </c>
      <c r="R856" s="7" t="s">
        <v>33</v>
      </c>
      <c r="S856" s="7" t="s">
        <v>47</v>
      </c>
      <c r="T856" s="10">
        <v>4</v>
      </c>
      <c r="U856" s="7" t="s">
        <v>35</v>
      </c>
      <c r="V856" s="10" t="s">
        <v>214</v>
      </c>
      <c r="W856" s="7" t="s">
        <v>48</v>
      </c>
      <c r="X856" s="10" t="s">
        <v>895</v>
      </c>
      <c r="Y856" s="7" t="s">
        <v>59</v>
      </c>
    </row>
    <row x14ac:dyDescent="0.25" r="857" customHeight="1" ht="18.75">
      <c r="A857" s="11">
        <v>74321673</v>
      </c>
      <c r="B857" s="12">
        <v>2271</v>
      </c>
      <c r="C857" s="13" t="s">
        <v>4063</v>
      </c>
      <c r="D857" s="13" t="s">
        <v>4064</v>
      </c>
      <c r="E857" s="14">
        <v>74321673</v>
      </c>
      <c r="F857" s="14">
        <v>2271</v>
      </c>
      <c r="G857" s="13" t="s">
        <v>27</v>
      </c>
      <c r="H857" s="13" t="s">
        <v>4065</v>
      </c>
      <c r="I857" s="13" t="s">
        <v>4066</v>
      </c>
      <c r="J857" s="14">
        <f>74952408424</f>
      </c>
      <c r="K857" s="14">
        <v>6542</v>
      </c>
      <c r="L857" s="13" t="s">
        <v>1276</v>
      </c>
      <c r="M857" s="14">
        <v>105</v>
      </c>
      <c r="N857" s="13" t="s">
        <v>1277</v>
      </c>
      <c r="O857" s="13" t="s">
        <v>32</v>
      </c>
      <c r="P857" s="13" t="s">
        <v>32</v>
      </c>
      <c r="Q857" s="14" t="s">
        <v>58</v>
      </c>
      <c r="R857" s="13" t="s">
        <v>33</v>
      </c>
      <c r="S857" s="13" t="s">
        <v>47</v>
      </c>
      <c r="T857" s="15">
        <v>4</v>
      </c>
      <c r="U857" s="13"/>
      <c r="V857" s="15">
        <v>0</v>
      </c>
      <c r="W857" s="13" t="s">
        <v>48</v>
      </c>
      <c r="X857" s="15" t="s">
        <v>36</v>
      </c>
      <c r="Y857" s="13" t="s">
        <v>37</v>
      </c>
    </row>
    <row x14ac:dyDescent="0.25" r="858" customHeight="1" ht="18.75">
      <c r="A858" s="5">
        <v>74321675</v>
      </c>
      <c r="B858" s="6">
        <v>2273</v>
      </c>
      <c r="C858" s="7" t="s">
        <v>4067</v>
      </c>
      <c r="D858" s="7" t="s">
        <v>4068</v>
      </c>
      <c r="E858" s="8">
        <v>74321675</v>
      </c>
      <c r="F858" s="8">
        <v>2273</v>
      </c>
      <c r="G858" s="7" t="s">
        <v>27</v>
      </c>
      <c r="H858" s="7" t="s">
        <v>4069</v>
      </c>
      <c r="I858" s="7" t="s">
        <v>4070</v>
      </c>
      <c r="J858" s="8">
        <f>74952408424</f>
      </c>
      <c r="K858" s="8">
        <v>6546</v>
      </c>
      <c r="L858" s="7" t="s">
        <v>1276</v>
      </c>
      <c r="M858" s="8">
        <v>105</v>
      </c>
      <c r="N858" s="7" t="s">
        <v>1277</v>
      </c>
      <c r="O858" s="7" t="s">
        <v>96</v>
      </c>
      <c r="P858" s="7" t="s">
        <v>4071</v>
      </c>
      <c r="Q858" s="8" t="s">
        <v>182</v>
      </c>
      <c r="R858" s="7" t="s">
        <v>33</v>
      </c>
      <c r="S858" s="7" t="s">
        <v>47</v>
      </c>
      <c r="T858" s="10">
        <v>3</v>
      </c>
      <c r="U858" s="7"/>
      <c r="V858" s="10">
        <v>0</v>
      </c>
      <c r="W858" s="7" t="s">
        <v>48</v>
      </c>
      <c r="X858" s="10" t="s">
        <v>65</v>
      </c>
      <c r="Y858" s="7" t="s">
        <v>37</v>
      </c>
    </row>
    <row x14ac:dyDescent="0.25" r="859" customHeight="1" ht="18.75">
      <c r="A859" s="11">
        <v>74021676</v>
      </c>
      <c r="B859" s="12">
        <v>2274</v>
      </c>
      <c r="C859" s="13" t="s">
        <v>4072</v>
      </c>
      <c r="D859" s="13" t="s">
        <v>4073</v>
      </c>
      <c r="E859" s="14">
        <v>74021676</v>
      </c>
      <c r="F859" s="14">
        <v>2274</v>
      </c>
      <c r="G859" s="13" t="s">
        <v>27</v>
      </c>
      <c r="H859" s="13" t="s">
        <v>4074</v>
      </c>
      <c r="I859" s="13" t="s">
        <v>4075</v>
      </c>
      <c r="J859" s="14">
        <f>79259543640</f>
      </c>
      <c r="K859" s="9"/>
      <c r="L859" s="13" t="s">
        <v>544</v>
      </c>
      <c r="M859" s="14">
        <v>74</v>
      </c>
      <c r="N859" s="13" t="s">
        <v>545</v>
      </c>
      <c r="O859" s="13" t="s">
        <v>32</v>
      </c>
      <c r="P859" s="13" t="s">
        <v>32</v>
      </c>
      <c r="Q859" s="14" t="s">
        <v>58</v>
      </c>
      <c r="R859" s="13" t="s">
        <v>33</v>
      </c>
      <c r="S859" s="13" t="s">
        <v>47</v>
      </c>
      <c r="T859" s="15">
        <v>3</v>
      </c>
      <c r="U859" s="13"/>
      <c r="V859" s="15">
        <v>0</v>
      </c>
      <c r="W859" s="13" t="s">
        <v>48</v>
      </c>
      <c r="X859" s="15" t="s">
        <v>472</v>
      </c>
      <c r="Y859" s="13" t="s">
        <v>37</v>
      </c>
    </row>
    <row x14ac:dyDescent="0.25" r="860" customHeight="1" ht="18.75">
      <c r="A860" s="5">
        <v>74321677</v>
      </c>
      <c r="B860" s="6">
        <v>2275</v>
      </c>
      <c r="C860" s="7" t="s">
        <v>4076</v>
      </c>
      <c r="D860" s="7" t="s">
        <v>4077</v>
      </c>
      <c r="E860" s="8">
        <v>74321677</v>
      </c>
      <c r="F860" s="8">
        <v>2275</v>
      </c>
      <c r="G860" s="7" t="s">
        <v>27</v>
      </c>
      <c r="H860" s="7" t="s">
        <v>4078</v>
      </c>
      <c r="I860" s="7" t="s">
        <v>4079</v>
      </c>
      <c r="J860" s="8">
        <f>74952408424</f>
      </c>
      <c r="K860" s="8">
        <v>6547</v>
      </c>
      <c r="L860" s="7" t="s">
        <v>1276</v>
      </c>
      <c r="M860" s="8">
        <v>105</v>
      </c>
      <c r="N860" s="7" t="s">
        <v>1277</v>
      </c>
      <c r="O860" s="7" t="s">
        <v>82</v>
      </c>
      <c r="P860" s="7" t="s">
        <v>3745</v>
      </c>
      <c r="Q860" s="8" t="s">
        <v>58</v>
      </c>
      <c r="R860" s="7" t="s">
        <v>33</v>
      </c>
      <c r="S860" s="7" t="s">
        <v>47</v>
      </c>
      <c r="T860" s="10">
        <v>3</v>
      </c>
      <c r="U860" s="7"/>
      <c r="V860" s="10">
        <v>0</v>
      </c>
      <c r="W860" s="7" t="s">
        <v>48</v>
      </c>
      <c r="X860" s="10" t="s">
        <v>36</v>
      </c>
      <c r="Y860" s="7" t="s">
        <v>59</v>
      </c>
    </row>
    <row x14ac:dyDescent="0.25" r="861" customHeight="1" ht="18.75">
      <c r="A861" s="11">
        <v>74021678</v>
      </c>
      <c r="B861" s="12">
        <v>2301</v>
      </c>
      <c r="C861" s="13" t="s">
        <v>4080</v>
      </c>
      <c r="D861" s="13" t="s">
        <v>4081</v>
      </c>
      <c r="E861" s="14">
        <v>74021678</v>
      </c>
      <c r="F861" s="14">
        <v>2301</v>
      </c>
      <c r="G861" s="13" t="s">
        <v>27</v>
      </c>
      <c r="H861" s="13" t="s">
        <v>4082</v>
      </c>
      <c r="I861" s="13" t="s">
        <v>4083</v>
      </c>
      <c r="J861" s="14">
        <f>74992726819</f>
      </c>
      <c r="K861" s="9"/>
      <c r="L861" s="13" t="s">
        <v>266</v>
      </c>
      <c r="M861" s="14">
        <v>100071</v>
      </c>
      <c r="N861" s="13" t="s">
        <v>4084</v>
      </c>
      <c r="O861" s="13" t="s">
        <v>32</v>
      </c>
      <c r="P861" s="13" t="s">
        <v>32</v>
      </c>
      <c r="Q861" s="14" t="s">
        <v>4085</v>
      </c>
      <c r="R861" s="13" t="s">
        <v>33</v>
      </c>
      <c r="S861" s="13" t="s">
        <v>47</v>
      </c>
      <c r="T861" s="15">
        <v>3</v>
      </c>
      <c r="U861" s="13"/>
      <c r="V861" s="15">
        <v>0</v>
      </c>
      <c r="W861" s="13" t="s">
        <v>48</v>
      </c>
      <c r="X861" s="15" t="s">
        <v>36</v>
      </c>
      <c r="Y861" s="13" t="s">
        <v>37</v>
      </c>
    </row>
    <row x14ac:dyDescent="0.25" r="862" customHeight="1" ht="18.75">
      <c r="A862" s="5">
        <v>74321681</v>
      </c>
      <c r="B862" s="6">
        <v>2313</v>
      </c>
      <c r="C862" s="7" t="s">
        <v>4086</v>
      </c>
      <c r="D862" s="7" t="s">
        <v>4087</v>
      </c>
      <c r="E862" s="8">
        <v>74321681</v>
      </c>
      <c r="F862" s="8">
        <v>2313</v>
      </c>
      <c r="G862" s="7" t="s">
        <v>27</v>
      </c>
      <c r="H862" s="7" t="s">
        <v>4088</v>
      </c>
      <c r="I862" s="7" t="s">
        <v>4089</v>
      </c>
      <c r="J862" s="8">
        <f>74952408424</f>
      </c>
      <c r="K862" s="8">
        <v>6551</v>
      </c>
      <c r="L862" s="7" t="s">
        <v>1276</v>
      </c>
      <c r="M862" s="8">
        <v>105</v>
      </c>
      <c r="N862" s="7" t="s">
        <v>1277</v>
      </c>
      <c r="O862" s="7" t="s">
        <v>96</v>
      </c>
      <c r="P862" s="7" t="s">
        <v>1799</v>
      </c>
      <c r="Q862" s="8" t="s">
        <v>1310</v>
      </c>
      <c r="R862" s="7" t="s">
        <v>33</v>
      </c>
      <c r="S862" s="7" t="s">
        <v>47</v>
      </c>
      <c r="T862" s="10">
        <v>3</v>
      </c>
      <c r="U862" s="7"/>
      <c r="V862" s="10">
        <v>0</v>
      </c>
      <c r="W862" s="7" t="s">
        <v>48</v>
      </c>
      <c r="X862" s="10" t="s">
        <v>36</v>
      </c>
      <c r="Y862" s="7" t="s">
        <v>59</v>
      </c>
    </row>
    <row x14ac:dyDescent="0.25" r="863" customHeight="1" ht="18.75">
      <c r="A863" s="11">
        <v>74321682</v>
      </c>
      <c r="B863" s="12">
        <v>2314</v>
      </c>
      <c r="C863" s="13" t="s">
        <v>4090</v>
      </c>
      <c r="D863" s="13" t="s">
        <v>4091</v>
      </c>
      <c r="E863" s="14">
        <v>74321682</v>
      </c>
      <c r="F863" s="14">
        <v>2314</v>
      </c>
      <c r="G863" s="13" t="s">
        <v>27</v>
      </c>
      <c r="H863" s="13" t="s">
        <v>4092</v>
      </c>
      <c r="I863" s="13" t="s">
        <v>4093</v>
      </c>
      <c r="J863" s="14">
        <f>74952408424</f>
      </c>
      <c r="K863" s="14">
        <v>6552</v>
      </c>
      <c r="L863" s="13" t="s">
        <v>1276</v>
      </c>
      <c r="M863" s="14">
        <v>105</v>
      </c>
      <c r="N863" s="13" t="s">
        <v>1277</v>
      </c>
      <c r="O863" s="13" t="s">
        <v>96</v>
      </c>
      <c r="P863" s="13" t="s">
        <v>4094</v>
      </c>
      <c r="Q863" s="14" t="s">
        <v>182</v>
      </c>
      <c r="R863" s="13" t="s">
        <v>33</v>
      </c>
      <c r="S863" s="13" t="s">
        <v>47</v>
      </c>
      <c r="T863" s="15">
        <v>3</v>
      </c>
      <c r="U863" s="13"/>
      <c r="V863" s="15">
        <v>0</v>
      </c>
      <c r="W863" s="13" t="s">
        <v>48</v>
      </c>
      <c r="X863" s="15" t="s">
        <v>36</v>
      </c>
      <c r="Y863" s="13" t="s">
        <v>84</v>
      </c>
    </row>
    <row x14ac:dyDescent="0.25" r="864" customHeight="1" ht="18.75">
      <c r="A864" s="5">
        <v>74321683</v>
      </c>
      <c r="B864" s="6">
        <v>2315</v>
      </c>
      <c r="C864" s="7" t="s">
        <v>4095</v>
      </c>
      <c r="D864" s="7" t="s">
        <v>4096</v>
      </c>
      <c r="E864" s="8">
        <v>74321683</v>
      </c>
      <c r="F864" s="8">
        <v>2315</v>
      </c>
      <c r="G864" s="7" t="s">
        <v>27</v>
      </c>
      <c r="H864" s="7" t="s">
        <v>4097</v>
      </c>
      <c r="I864" s="7" t="s">
        <v>4098</v>
      </c>
      <c r="J864" s="8">
        <f>73832096033</f>
      </c>
      <c r="K864" s="8">
        <v>6550</v>
      </c>
      <c r="L864" s="7" t="s">
        <v>1276</v>
      </c>
      <c r="M864" s="8">
        <v>105</v>
      </c>
      <c r="N864" s="7" t="s">
        <v>1277</v>
      </c>
      <c r="O864" s="7" t="s">
        <v>73</v>
      </c>
      <c r="P864" s="7" t="s">
        <v>1532</v>
      </c>
      <c r="Q864" s="8" t="s">
        <v>1533</v>
      </c>
      <c r="R864" s="7" t="s">
        <v>33</v>
      </c>
      <c r="S864" s="7" t="s">
        <v>47</v>
      </c>
      <c r="T864" s="10">
        <v>2</v>
      </c>
      <c r="U864" s="7"/>
      <c r="V864" s="10">
        <v>0</v>
      </c>
      <c r="W864" s="7" t="s">
        <v>48</v>
      </c>
      <c r="X864" s="10" t="s">
        <v>65</v>
      </c>
      <c r="Y864" s="7" t="s">
        <v>84</v>
      </c>
    </row>
    <row x14ac:dyDescent="0.25" r="865" customHeight="1" ht="18.75">
      <c r="A865" s="11">
        <v>74321688</v>
      </c>
      <c r="B865" s="12">
        <v>2317</v>
      </c>
      <c r="C865" s="13" t="s">
        <v>4099</v>
      </c>
      <c r="D865" s="13" t="s">
        <v>4100</v>
      </c>
      <c r="E865" s="14">
        <v>74321688</v>
      </c>
      <c r="F865" s="14">
        <v>2317</v>
      </c>
      <c r="G865" s="13" t="s">
        <v>27</v>
      </c>
      <c r="H865" s="13" t="s">
        <v>4101</v>
      </c>
      <c r="I865" s="13" t="s">
        <v>4102</v>
      </c>
      <c r="J865" s="14">
        <f>74959812794</f>
      </c>
      <c r="K865" s="14">
        <v>6554</v>
      </c>
      <c r="L865" s="13" t="s">
        <v>1276</v>
      </c>
      <c r="M865" s="14">
        <v>105</v>
      </c>
      <c r="N865" s="13" t="s">
        <v>1277</v>
      </c>
      <c r="O865" s="13" t="s">
        <v>82</v>
      </c>
      <c r="P865" s="13" t="s">
        <v>2907</v>
      </c>
      <c r="Q865" s="14" t="s">
        <v>58</v>
      </c>
      <c r="R865" s="13" t="s">
        <v>33</v>
      </c>
      <c r="S865" s="13" t="s">
        <v>47</v>
      </c>
      <c r="T865" s="15">
        <v>4</v>
      </c>
      <c r="U865" s="13"/>
      <c r="V865" s="15">
        <v>0</v>
      </c>
      <c r="W865" s="13" t="s">
        <v>48</v>
      </c>
      <c r="X865" s="15" t="s">
        <v>65</v>
      </c>
      <c r="Y865" s="13" t="s">
        <v>59</v>
      </c>
    </row>
    <row x14ac:dyDescent="0.25" r="866" customHeight="1" ht="18.75">
      <c r="A866" s="5">
        <v>74321689</v>
      </c>
      <c r="B866" s="6">
        <v>2318</v>
      </c>
      <c r="C866" s="7" t="s">
        <v>4103</v>
      </c>
      <c r="D866" s="7" t="s">
        <v>4104</v>
      </c>
      <c r="E866" s="8">
        <v>74321689</v>
      </c>
      <c r="F866" s="8">
        <v>2318</v>
      </c>
      <c r="G866" s="7" t="s">
        <v>27</v>
      </c>
      <c r="H866" s="7" t="s">
        <v>4105</v>
      </c>
      <c r="I866" s="7" t="s">
        <v>4106</v>
      </c>
      <c r="J866" s="8">
        <f>74952408424</f>
      </c>
      <c r="K866" s="8">
        <v>6555</v>
      </c>
      <c r="L866" s="7" t="s">
        <v>1276</v>
      </c>
      <c r="M866" s="8">
        <v>105</v>
      </c>
      <c r="N866" s="7" t="s">
        <v>1277</v>
      </c>
      <c r="O866" s="7" t="s">
        <v>32</v>
      </c>
      <c r="P866" s="7" t="s">
        <v>32</v>
      </c>
      <c r="Q866" s="8" t="s">
        <v>58</v>
      </c>
      <c r="R866" s="7" t="s">
        <v>33</v>
      </c>
      <c r="S866" s="7" t="s">
        <v>47</v>
      </c>
      <c r="T866" s="10">
        <v>5</v>
      </c>
      <c r="U866" s="7"/>
      <c r="V866" s="10">
        <v>0</v>
      </c>
      <c r="W866" s="7" t="s">
        <v>48</v>
      </c>
      <c r="X866" s="10" t="s">
        <v>36</v>
      </c>
      <c r="Y866" s="7" t="s">
        <v>59</v>
      </c>
    </row>
    <row x14ac:dyDescent="0.25" r="867" customHeight="1" ht="18.75">
      <c r="A867" s="11">
        <v>74321690</v>
      </c>
      <c r="B867" s="12">
        <v>2319</v>
      </c>
      <c r="C867" s="13" t="s">
        <v>4107</v>
      </c>
      <c r="D867" s="13" t="s">
        <v>4108</v>
      </c>
      <c r="E867" s="14">
        <v>74321690</v>
      </c>
      <c r="F867" s="14">
        <v>2319</v>
      </c>
      <c r="G867" s="13" t="s">
        <v>27</v>
      </c>
      <c r="H867" s="13" t="s">
        <v>4109</v>
      </c>
      <c r="I867" s="13" t="s">
        <v>4110</v>
      </c>
      <c r="J867" s="14">
        <f>74952408424</f>
      </c>
      <c r="K867" s="14">
        <v>6557</v>
      </c>
      <c r="L867" s="13" t="s">
        <v>1276</v>
      </c>
      <c r="M867" s="14">
        <v>105</v>
      </c>
      <c r="N867" s="13" t="s">
        <v>1277</v>
      </c>
      <c r="O867" s="13" t="s">
        <v>82</v>
      </c>
      <c r="P867" s="13" t="s">
        <v>4111</v>
      </c>
      <c r="Q867" s="14" t="s">
        <v>58</v>
      </c>
      <c r="R867" s="13" t="s">
        <v>33</v>
      </c>
      <c r="S867" s="13" t="s">
        <v>47</v>
      </c>
      <c r="T867" s="15">
        <v>6</v>
      </c>
      <c r="U867" s="13"/>
      <c r="V867" s="15">
        <v>0</v>
      </c>
      <c r="W867" s="13" t="s">
        <v>48</v>
      </c>
      <c r="X867" s="15" t="s">
        <v>65</v>
      </c>
      <c r="Y867" s="13" t="s">
        <v>126</v>
      </c>
    </row>
    <row x14ac:dyDescent="0.25" r="868" customHeight="1" ht="18.75">
      <c r="A868" s="5">
        <v>74021685</v>
      </c>
      <c r="B868" s="6">
        <v>2322</v>
      </c>
      <c r="C868" s="7" t="s">
        <v>4112</v>
      </c>
      <c r="D868" s="7" t="s">
        <v>4113</v>
      </c>
      <c r="E868" s="8">
        <v>74021685</v>
      </c>
      <c r="F868" s="8">
        <v>2322</v>
      </c>
      <c r="G868" s="7" t="s">
        <v>27</v>
      </c>
      <c r="H868" s="7" t="s">
        <v>4114</v>
      </c>
      <c r="I868" s="7" t="s">
        <v>4115</v>
      </c>
      <c r="J868" s="8">
        <f>79697021871</f>
      </c>
      <c r="K868" s="9"/>
      <c r="L868" s="7" t="s">
        <v>54</v>
      </c>
      <c r="M868" s="8">
        <v>188</v>
      </c>
      <c r="N868" s="7" t="s">
        <v>55</v>
      </c>
      <c r="O868" s="7" t="s">
        <v>56</v>
      </c>
      <c r="P868" s="7" t="s">
        <v>57</v>
      </c>
      <c r="Q868" s="8" t="s">
        <v>58</v>
      </c>
      <c r="R868" s="7" t="s">
        <v>33</v>
      </c>
      <c r="S868" s="7" t="s">
        <v>47</v>
      </c>
      <c r="T868" s="10">
        <v>3</v>
      </c>
      <c r="U868" s="7"/>
      <c r="V868" s="10">
        <v>0</v>
      </c>
      <c r="W868" s="7" t="s">
        <v>48</v>
      </c>
      <c r="X868" s="10" t="s">
        <v>36</v>
      </c>
      <c r="Y868" s="7" t="s">
        <v>37</v>
      </c>
    </row>
    <row x14ac:dyDescent="0.25" r="869" customHeight="1" ht="18.75">
      <c r="A869" s="11">
        <v>74021686</v>
      </c>
      <c r="B869" s="12">
        <v>2323</v>
      </c>
      <c r="C869" s="13" t="s">
        <v>4116</v>
      </c>
      <c r="D869" s="13" t="s">
        <v>4117</v>
      </c>
      <c r="E869" s="14">
        <v>74021686</v>
      </c>
      <c r="F869" s="14">
        <v>2323</v>
      </c>
      <c r="G869" s="13" t="s">
        <v>27</v>
      </c>
      <c r="H869" s="13" t="s">
        <v>4118</v>
      </c>
      <c r="I869" s="13" t="s">
        <v>4119</v>
      </c>
      <c r="J869" s="13" t="s">
        <v>467</v>
      </c>
      <c r="K869" s="9"/>
      <c r="L869" s="13" t="s">
        <v>54</v>
      </c>
      <c r="M869" s="14">
        <v>188</v>
      </c>
      <c r="N869" s="13" t="s">
        <v>55</v>
      </c>
      <c r="O869" s="13" t="s">
        <v>56</v>
      </c>
      <c r="P869" s="13" t="s">
        <v>57</v>
      </c>
      <c r="Q869" s="14" t="s">
        <v>58</v>
      </c>
      <c r="R869" s="13" t="s">
        <v>33</v>
      </c>
      <c r="S869" s="13" t="s">
        <v>47</v>
      </c>
      <c r="T869" s="15">
        <v>3</v>
      </c>
      <c r="U869" s="13"/>
      <c r="V869" s="15">
        <v>0</v>
      </c>
      <c r="W869" s="13" t="s">
        <v>48</v>
      </c>
      <c r="X869" s="15" t="s">
        <v>36</v>
      </c>
      <c r="Y869" s="13" t="s">
        <v>37</v>
      </c>
    </row>
    <row x14ac:dyDescent="0.25" r="870" customHeight="1" ht="18.75">
      <c r="A870" s="5">
        <v>74021692</v>
      </c>
      <c r="B870" s="6">
        <v>2331</v>
      </c>
      <c r="C870" s="7" t="s">
        <v>4120</v>
      </c>
      <c r="D870" s="7" t="s">
        <v>4121</v>
      </c>
      <c r="E870" s="8">
        <v>74021692</v>
      </c>
      <c r="F870" s="8">
        <v>2331</v>
      </c>
      <c r="G870" s="7" t="s">
        <v>27</v>
      </c>
      <c r="H870" s="7" t="s">
        <v>4122</v>
      </c>
      <c r="I870" s="7" t="s">
        <v>4123</v>
      </c>
      <c r="J870" s="8">
        <f>74953243018</f>
      </c>
      <c r="K870" s="9"/>
      <c r="L870" s="7" t="s">
        <v>1334</v>
      </c>
      <c r="M870" s="8">
        <v>123</v>
      </c>
      <c r="N870" s="7" t="s">
        <v>1335</v>
      </c>
      <c r="O870" s="7" t="s">
        <v>32</v>
      </c>
      <c r="P870" s="7" t="s">
        <v>32</v>
      </c>
      <c r="Q870" s="8" t="s">
        <v>58</v>
      </c>
      <c r="R870" s="7" t="s">
        <v>33</v>
      </c>
      <c r="S870" s="7" t="s">
        <v>47</v>
      </c>
      <c r="T870" s="10">
        <v>2</v>
      </c>
      <c r="U870" s="7"/>
      <c r="V870" s="10">
        <v>0</v>
      </c>
      <c r="W870" s="7" t="s">
        <v>48</v>
      </c>
      <c r="X870" s="10" t="s">
        <v>472</v>
      </c>
      <c r="Y870" s="7" t="s">
        <v>37</v>
      </c>
    </row>
    <row x14ac:dyDescent="0.25" r="871" customHeight="1" ht="18.75">
      <c r="A871" s="11">
        <v>74021693</v>
      </c>
      <c r="B871" s="12">
        <v>2332</v>
      </c>
      <c r="C871" s="13" t="s">
        <v>4124</v>
      </c>
      <c r="D871" s="13" t="s">
        <v>4125</v>
      </c>
      <c r="E871" s="14">
        <v>74021693</v>
      </c>
      <c r="F871" s="14">
        <v>2332</v>
      </c>
      <c r="G871" s="13" t="s">
        <v>27</v>
      </c>
      <c r="H871" s="13" t="s">
        <v>4126</v>
      </c>
      <c r="I871" s="13" t="s">
        <v>4127</v>
      </c>
      <c r="J871" s="14">
        <f>79259543632</f>
      </c>
      <c r="K871" s="9"/>
      <c r="L871" s="13" t="s">
        <v>544</v>
      </c>
      <c r="M871" s="14">
        <v>74</v>
      </c>
      <c r="N871" s="13" t="s">
        <v>545</v>
      </c>
      <c r="O871" s="13" t="s">
        <v>32</v>
      </c>
      <c r="P871" s="13" t="s">
        <v>32</v>
      </c>
      <c r="Q871" s="14" t="s">
        <v>58</v>
      </c>
      <c r="R871" s="13" t="s">
        <v>33</v>
      </c>
      <c r="S871" s="13" t="s">
        <v>47</v>
      </c>
      <c r="T871" s="15">
        <v>3</v>
      </c>
      <c r="U871" s="13"/>
      <c r="V871" s="15">
        <v>0</v>
      </c>
      <c r="W871" s="13" t="s">
        <v>48</v>
      </c>
      <c r="X871" s="15" t="s">
        <v>472</v>
      </c>
      <c r="Y871" s="13" t="s">
        <v>37</v>
      </c>
    </row>
    <row x14ac:dyDescent="0.25" r="872" customHeight="1" ht="18.75">
      <c r="A872" s="5">
        <v>74021694</v>
      </c>
      <c r="B872" s="6">
        <v>2333</v>
      </c>
      <c r="C872" s="7" t="s">
        <v>4128</v>
      </c>
      <c r="D872" s="7" t="s">
        <v>4129</v>
      </c>
      <c r="E872" s="8">
        <v>74021694</v>
      </c>
      <c r="F872" s="8">
        <v>2333</v>
      </c>
      <c r="G872" s="7" t="s">
        <v>27</v>
      </c>
      <c r="H872" s="7" t="s">
        <v>4130</v>
      </c>
      <c r="I872" s="7" t="s">
        <v>4131</v>
      </c>
      <c r="J872" s="8">
        <f>79259543638</f>
      </c>
      <c r="K872" s="9"/>
      <c r="L872" s="7" t="s">
        <v>544</v>
      </c>
      <c r="M872" s="8">
        <v>74</v>
      </c>
      <c r="N872" s="7" t="s">
        <v>545</v>
      </c>
      <c r="O872" s="7" t="s">
        <v>32</v>
      </c>
      <c r="P872" s="7" t="s">
        <v>32</v>
      </c>
      <c r="Q872" s="8" t="s">
        <v>58</v>
      </c>
      <c r="R872" s="7" t="s">
        <v>33</v>
      </c>
      <c r="S872" s="7" t="s">
        <v>47</v>
      </c>
      <c r="T872" s="10">
        <v>3</v>
      </c>
      <c r="U872" s="7"/>
      <c r="V872" s="10">
        <v>0</v>
      </c>
      <c r="W872" s="7" t="s">
        <v>48</v>
      </c>
      <c r="X872" s="10" t="s">
        <v>472</v>
      </c>
      <c r="Y872" s="7" t="s">
        <v>59</v>
      </c>
    </row>
    <row x14ac:dyDescent="0.25" r="873" customHeight="1" ht="18.75">
      <c r="A873" s="11">
        <v>74021695</v>
      </c>
      <c r="B873" s="12">
        <v>2334</v>
      </c>
      <c r="C873" s="13" t="s">
        <v>4132</v>
      </c>
      <c r="D873" s="13" t="s">
        <v>4133</v>
      </c>
      <c r="E873" s="14">
        <v>74021695</v>
      </c>
      <c r="F873" s="14">
        <v>2334</v>
      </c>
      <c r="G873" s="13" t="s">
        <v>27</v>
      </c>
      <c r="H873" s="13" t="s">
        <v>4134</v>
      </c>
      <c r="I873" s="13" t="s">
        <v>4135</v>
      </c>
      <c r="J873" s="14">
        <f>74234384684</f>
      </c>
      <c r="K873" s="9"/>
      <c r="L873" s="13" t="s">
        <v>721</v>
      </c>
      <c r="M873" s="14">
        <v>115</v>
      </c>
      <c r="N873" s="13" t="s">
        <v>1376</v>
      </c>
      <c r="O873" s="13" t="s">
        <v>723</v>
      </c>
      <c r="P873" s="13" t="s">
        <v>4136</v>
      </c>
      <c r="Q873" s="14" t="s">
        <v>4137</v>
      </c>
      <c r="R873" s="13" t="s">
        <v>33</v>
      </c>
      <c r="S873" s="13" t="s">
        <v>47</v>
      </c>
      <c r="T873" s="15">
        <v>3</v>
      </c>
      <c r="U873" s="13"/>
      <c r="V873" s="15">
        <v>0</v>
      </c>
      <c r="W873" s="13" t="s">
        <v>48</v>
      </c>
      <c r="X873" s="15" t="s">
        <v>472</v>
      </c>
      <c r="Y873" s="13" t="s">
        <v>59</v>
      </c>
    </row>
    <row x14ac:dyDescent="0.25" r="874" customHeight="1" ht="18.75">
      <c r="A874" s="5">
        <v>74021696</v>
      </c>
      <c r="B874" s="6">
        <v>2341</v>
      </c>
      <c r="C874" s="7" t="s">
        <v>4138</v>
      </c>
      <c r="D874" s="7" t="s">
        <v>4139</v>
      </c>
      <c r="E874" s="8">
        <v>74021696</v>
      </c>
      <c r="F874" s="8">
        <v>2341</v>
      </c>
      <c r="G874" s="7" t="s">
        <v>27</v>
      </c>
      <c r="H874" s="7" t="s">
        <v>4140</v>
      </c>
      <c r="I874" s="7" t="s">
        <v>4141</v>
      </c>
      <c r="J874" s="7" t="s">
        <v>467</v>
      </c>
      <c r="K874" s="9"/>
      <c r="L874" s="7" t="s">
        <v>388</v>
      </c>
      <c r="M874" s="8">
        <v>245</v>
      </c>
      <c r="N874" s="7" t="s">
        <v>389</v>
      </c>
      <c r="O874" s="7" t="s">
        <v>32</v>
      </c>
      <c r="P874" s="7" t="s">
        <v>32</v>
      </c>
      <c r="Q874" s="8" t="s">
        <v>4142</v>
      </c>
      <c r="R874" s="7" t="s">
        <v>33</v>
      </c>
      <c r="S874" s="7" t="s">
        <v>47</v>
      </c>
      <c r="T874" s="10">
        <v>3</v>
      </c>
      <c r="U874" s="7" t="s">
        <v>35</v>
      </c>
      <c r="V874" s="10" t="s">
        <v>200</v>
      </c>
      <c r="W874" s="7" t="s">
        <v>48</v>
      </c>
      <c r="X874" s="10" t="s">
        <v>36</v>
      </c>
      <c r="Y874" s="7" t="s">
        <v>59</v>
      </c>
    </row>
    <row x14ac:dyDescent="0.25" r="875" customHeight="1" ht="18.75">
      <c r="A875" s="11">
        <v>74321698</v>
      </c>
      <c r="B875" s="12">
        <v>2352</v>
      </c>
      <c r="C875" s="13" t="s">
        <v>4143</v>
      </c>
      <c r="D875" s="13" t="s">
        <v>4144</v>
      </c>
      <c r="E875" s="14">
        <v>74321698</v>
      </c>
      <c r="F875" s="14">
        <v>2352</v>
      </c>
      <c r="G875" s="13" t="s">
        <v>27</v>
      </c>
      <c r="H875" s="13" t="s">
        <v>4145</v>
      </c>
      <c r="I875" s="13" t="s">
        <v>4146</v>
      </c>
      <c r="J875" s="14">
        <f>74952408424</f>
      </c>
      <c r="K875" s="14">
        <v>6556</v>
      </c>
      <c r="L875" s="13" t="s">
        <v>1276</v>
      </c>
      <c r="M875" s="14">
        <v>105</v>
      </c>
      <c r="N875" s="13" t="s">
        <v>1277</v>
      </c>
      <c r="O875" s="13" t="s">
        <v>32</v>
      </c>
      <c r="P875" s="13" t="s">
        <v>32</v>
      </c>
      <c r="Q875" s="14" t="s">
        <v>58</v>
      </c>
      <c r="R875" s="13" t="s">
        <v>33</v>
      </c>
      <c r="S875" s="13" t="s">
        <v>47</v>
      </c>
      <c r="T875" s="15">
        <v>2</v>
      </c>
      <c r="U875" s="13"/>
      <c r="V875" s="15">
        <v>0</v>
      </c>
      <c r="W875" s="13" t="s">
        <v>48</v>
      </c>
      <c r="X875" s="15" t="s">
        <v>36</v>
      </c>
      <c r="Y875" s="13" t="s">
        <v>37</v>
      </c>
    </row>
    <row x14ac:dyDescent="0.25" r="876" customHeight="1" ht="18.75">
      <c r="A876" s="5">
        <v>74021702</v>
      </c>
      <c r="B876" s="6">
        <v>2357</v>
      </c>
      <c r="C876" s="7" t="s">
        <v>4147</v>
      </c>
      <c r="D876" s="7" t="s">
        <v>4148</v>
      </c>
      <c r="E876" s="8">
        <v>74021702</v>
      </c>
      <c r="F876" s="8">
        <v>2357</v>
      </c>
      <c r="G876" s="7" t="s">
        <v>27</v>
      </c>
      <c r="H876" s="7" t="s">
        <v>4149</v>
      </c>
      <c r="I876" s="7" t="s">
        <v>4150</v>
      </c>
      <c r="J876" s="8">
        <f>79253011887</f>
      </c>
      <c r="K876" s="9"/>
      <c r="L876" s="7" t="s">
        <v>544</v>
      </c>
      <c r="M876" s="8">
        <v>74</v>
      </c>
      <c r="N876" s="7" t="s">
        <v>545</v>
      </c>
      <c r="O876" s="7" t="s">
        <v>119</v>
      </c>
      <c r="P876" s="7" t="s">
        <v>1538</v>
      </c>
      <c r="Q876" s="8" t="s">
        <v>58</v>
      </c>
      <c r="R876" s="7" t="s">
        <v>33</v>
      </c>
      <c r="S876" s="7" t="s">
        <v>47</v>
      </c>
      <c r="T876" s="10">
        <v>3</v>
      </c>
      <c r="U876" s="7"/>
      <c r="V876" s="10">
        <v>0</v>
      </c>
      <c r="W876" s="7" t="s">
        <v>48</v>
      </c>
      <c r="X876" s="10" t="s">
        <v>472</v>
      </c>
      <c r="Y876" s="7" t="s">
        <v>37</v>
      </c>
    </row>
    <row x14ac:dyDescent="0.25" r="877" customHeight="1" ht="18.75">
      <c r="A877" s="11">
        <v>74021703</v>
      </c>
      <c r="B877" s="12">
        <v>2358</v>
      </c>
      <c r="C877" s="13" t="s">
        <v>4151</v>
      </c>
      <c r="D877" s="13" t="s">
        <v>4152</v>
      </c>
      <c r="E877" s="14">
        <v>74021703</v>
      </c>
      <c r="F877" s="14">
        <v>2358</v>
      </c>
      <c r="G877" s="13" t="s">
        <v>27</v>
      </c>
      <c r="H877" s="13" t="s">
        <v>4153</v>
      </c>
      <c r="I877" s="13" t="s">
        <v>4154</v>
      </c>
      <c r="J877" s="14">
        <f>79253011944</f>
      </c>
      <c r="K877" s="9"/>
      <c r="L877" s="13" t="s">
        <v>544</v>
      </c>
      <c r="M877" s="14">
        <v>74</v>
      </c>
      <c r="N877" s="13" t="s">
        <v>545</v>
      </c>
      <c r="O877" s="13" t="s">
        <v>232</v>
      </c>
      <c r="P877" s="13" t="s">
        <v>4155</v>
      </c>
      <c r="Q877" s="14" t="s">
        <v>1219</v>
      </c>
      <c r="R877" s="13" t="s">
        <v>33</v>
      </c>
      <c r="S877" s="13" t="s">
        <v>47</v>
      </c>
      <c r="T877" s="15">
        <v>3</v>
      </c>
      <c r="U877" s="13"/>
      <c r="V877" s="15">
        <v>0</v>
      </c>
      <c r="W877" s="13" t="s">
        <v>48</v>
      </c>
      <c r="X877" s="15" t="s">
        <v>472</v>
      </c>
      <c r="Y877" s="13" t="s">
        <v>37</v>
      </c>
    </row>
    <row x14ac:dyDescent="0.25" r="878" customHeight="1" ht="18.75">
      <c r="A878" s="5">
        <v>74021705</v>
      </c>
      <c r="B878" s="6">
        <v>2382</v>
      </c>
      <c r="C878" s="7" t="s">
        <v>4156</v>
      </c>
      <c r="D878" s="7" t="s">
        <v>4157</v>
      </c>
      <c r="E878" s="8">
        <v>74021705</v>
      </c>
      <c r="F878" s="8">
        <v>2382</v>
      </c>
      <c r="G878" s="7" t="s">
        <v>27</v>
      </c>
      <c r="H878" s="7" t="s">
        <v>4158</v>
      </c>
      <c r="I878" s="7" t="s">
        <v>4159</v>
      </c>
      <c r="J878" s="8">
        <f>78453538002</f>
      </c>
      <c r="K878" s="9"/>
      <c r="L878" s="7" t="s">
        <v>327</v>
      </c>
      <c r="M878" s="8">
        <v>100623</v>
      </c>
      <c r="N878" s="7" t="s">
        <v>328</v>
      </c>
      <c r="O878" s="7" t="s">
        <v>44</v>
      </c>
      <c r="P878" s="7" t="s">
        <v>1241</v>
      </c>
      <c r="Q878" s="8" t="s">
        <v>4160</v>
      </c>
      <c r="R878" s="7" t="s">
        <v>33</v>
      </c>
      <c r="S878" s="7" t="s">
        <v>34</v>
      </c>
      <c r="T878" s="10">
        <v>4</v>
      </c>
      <c r="U878" s="7"/>
      <c r="V878" s="10">
        <v>0</v>
      </c>
      <c r="W878" s="7" t="s">
        <v>48</v>
      </c>
      <c r="X878" s="10" t="s">
        <v>36</v>
      </c>
      <c r="Y878" s="7" t="s">
        <v>37</v>
      </c>
    </row>
    <row x14ac:dyDescent="0.25" r="879" customHeight="1" ht="18.75">
      <c r="A879" s="11">
        <v>74321712</v>
      </c>
      <c r="B879" s="12">
        <v>2403</v>
      </c>
      <c r="C879" s="13" t="s">
        <v>4161</v>
      </c>
      <c r="D879" s="13" t="s">
        <v>4162</v>
      </c>
      <c r="E879" s="14">
        <v>74321712</v>
      </c>
      <c r="F879" s="14">
        <v>2403</v>
      </c>
      <c r="G879" s="13" t="s">
        <v>27</v>
      </c>
      <c r="H879" s="13" t="s">
        <v>4163</v>
      </c>
      <c r="I879" s="13" t="s">
        <v>4164</v>
      </c>
      <c r="J879" s="14">
        <f>74952408424</f>
      </c>
      <c r="K879" s="14">
        <v>6559</v>
      </c>
      <c r="L879" s="13" t="s">
        <v>1276</v>
      </c>
      <c r="M879" s="14">
        <v>105</v>
      </c>
      <c r="N879" s="13" t="s">
        <v>1277</v>
      </c>
      <c r="O879" s="13" t="s">
        <v>44</v>
      </c>
      <c r="P879" s="13" t="s">
        <v>3050</v>
      </c>
      <c r="Q879" s="14" t="s">
        <v>58</v>
      </c>
      <c r="R879" s="13" t="s">
        <v>33</v>
      </c>
      <c r="S879" s="13" t="s">
        <v>47</v>
      </c>
      <c r="T879" s="15">
        <v>4</v>
      </c>
      <c r="U879" s="13"/>
      <c r="V879" s="15">
        <v>0</v>
      </c>
      <c r="W879" s="13" t="s">
        <v>48</v>
      </c>
      <c r="X879" s="15" t="s">
        <v>65</v>
      </c>
      <c r="Y879" s="13" t="s">
        <v>126</v>
      </c>
    </row>
    <row x14ac:dyDescent="0.25" r="880" customHeight="1" ht="18.75">
      <c r="A880" s="5">
        <v>74321713</v>
      </c>
      <c r="B880" s="6">
        <v>2404</v>
      </c>
      <c r="C880" s="7" t="s">
        <v>4165</v>
      </c>
      <c r="D880" s="7" t="s">
        <v>4166</v>
      </c>
      <c r="E880" s="8">
        <v>74321713</v>
      </c>
      <c r="F880" s="8">
        <v>2404</v>
      </c>
      <c r="G880" s="7" t="s">
        <v>27</v>
      </c>
      <c r="H880" s="7" t="s">
        <v>4167</v>
      </c>
      <c r="I880" s="7" t="s">
        <v>4168</v>
      </c>
      <c r="J880" s="8">
        <f>74959812794</f>
      </c>
      <c r="K880" s="8">
        <v>6560</v>
      </c>
      <c r="L880" s="7" t="s">
        <v>1276</v>
      </c>
      <c r="M880" s="8">
        <v>105</v>
      </c>
      <c r="N880" s="7" t="s">
        <v>1277</v>
      </c>
      <c r="O880" s="7" t="s">
        <v>96</v>
      </c>
      <c r="P880" s="7" t="s">
        <v>280</v>
      </c>
      <c r="Q880" s="8" t="s">
        <v>182</v>
      </c>
      <c r="R880" s="7" t="s">
        <v>33</v>
      </c>
      <c r="S880" s="7" t="s">
        <v>47</v>
      </c>
      <c r="T880" s="10">
        <v>3</v>
      </c>
      <c r="U880" s="7"/>
      <c r="V880" s="10">
        <v>0</v>
      </c>
      <c r="W880" s="7" t="s">
        <v>48</v>
      </c>
      <c r="X880" s="10" t="s">
        <v>65</v>
      </c>
      <c r="Y880" s="7" t="s">
        <v>59</v>
      </c>
    </row>
    <row x14ac:dyDescent="0.25" r="881" customHeight="1" ht="18.75">
      <c r="A881" s="11">
        <v>74321706</v>
      </c>
      <c r="B881" s="12">
        <v>2431</v>
      </c>
      <c r="C881" s="13" t="s">
        <v>4169</v>
      </c>
      <c r="D881" s="13" t="s">
        <v>4170</v>
      </c>
      <c r="E881" s="14">
        <v>74321706</v>
      </c>
      <c r="F881" s="14">
        <v>2431</v>
      </c>
      <c r="G881" s="13" t="s">
        <v>27</v>
      </c>
      <c r="H881" s="13" t="s">
        <v>4171</v>
      </c>
      <c r="I881" s="13" t="s">
        <v>4172</v>
      </c>
      <c r="J881" s="14">
        <f>74952408424</f>
      </c>
      <c r="K881" s="14">
        <v>6543</v>
      </c>
      <c r="L881" s="13" t="s">
        <v>1276</v>
      </c>
      <c r="M881" s="14">
        <v>105</v>
      </c>
      <c r="N881" s="13" t="s">
        <v>1277</v>
      </c>
      <c r="O881" s="13" t="s">
        <v>82</v>
      </c>
      <c r="P881" s="13" t="s">
        <v>3111</v>
      </c>
      <c r="Q881" s="14" t="s">
        <v>58</v>
      </c>
      <c r="R881" s="13" t="s">
        <v>33</v>
      </c>
      <c r="S881" s="13" t="s">
        <v>47</v>
      </c>
      <c r="T881" s="15">
        <v>2</v>
      </c>
      <c r="U881" s="13" t="s">
        <v>48</v>
      </c>
      <c r="V881" s="15" t="s">
        <v>195</v>
      </c>
      <c r="W881" s="13" t="s">
        <v>35</v>
      </c>
      <c r="X881" s="15" t="s">
        <v>36</v>
      </c>
      <c r="Y881" s="13" t="s">
        <v>59</v>
      </c>
    </row>
    <row x14ac:dyDescent="0.25" r="882" customHeight="1" ht="18.75">
      <c r="A882" s="5">
        <v>74321708</v>
      </c>
      <c r="B882" s="6">
        <v>2433</v>
      </c>
      <c r="C882" s="7" t="s">
        <v>4173</v>
      </c>
      <c r="D882" s="7" t="s">
        <v>4174</v>
      </c>
      <c r="E882" s="8">
        <v>74321708</v>
      </c>
      <c r="F882" s="8">
        <v>2433</v>
      </c>
      <c r="G882" s="7" t="s">
        <v>27</v>
      </c>
      <c r="H882" s="7" t="s">
        <v>4175</v>
      </c>
      <c r="I882" s="7" t="s">
        <v>4176</v>
      </c>
      <c r="J882" s="8">
        <f>74952408424</f>
      </c>
      <c r="K882" s="8">
        <v>6544</v>
      </c>
      <c r="L882" s="7" t="s">
        <v>1276</v>
      </c>
      <c r="M882" s="8">
        <v>105</v>
      </c>
      <c r="N882" s="7" t="s">
        <v>1277</v>
      </c>
      <c r="O882" s="7" t="s">
        <v>32</v>
      </c>
      <c r="P882" s="7" t="s">
        <v>32</v>
      </c>
      <c r="Q882" s="8" t="s">
        <v>58</v>
      </c>
      <c r="R882" s="7" t="s">
        <v>33</v>
      </c>
      <c r="S882" s="7" t="s">
        <v>47</v>
      </c>
      <c r="T882" s="10">
        <v>2</v>
      </c>
      <c r="U882" s="7" t="s">
        <v>48</v>
      </c>
      <c r="V882" s="10" t="s">
        <v>195</v>
      </c>
      <c r="W882" s="7" t="s">
        <v>35</v>
      </c>
      <c r="X882" s="10" t="s">
        <v>36</v>
      </c>
      <c r="Y882" s="7" t="s">
        <v>59</v>
      </c>
    </row>
    <row x14ac:dyDescent="0.25" r="883" customHeight="1" ht="18.75">
      <c r="A883" s="11">
        <v>74021712</v>
      </c>
      <c r="B883" s="12">
        <v>2442</v>
      </c>
      <c r="C883" s="13" t="s">
        <v>4177</v>
      </c>
      <c r="D883" s="13" t="s">
        <v>4178</v>
      </c>
      <c r="E883" s="14">
        <v>74021712</v>
      </c>
      <c r="F883" s="14">
        <v>2442</v>
      </c>
      <c r="G883" s="13" t="s">
        <v>27</v>
      </c>
      <c r="H883" s="13" t="s">
        <v>4179</v>
      </c>
      <c r="I883" s="13" t="s">
        <v>4180</v>
      </c>
      <c r="J883" s="14">
        <f>79312579667</f>
      </c>
      <c r="K883" s="9"/>
      <c r="L883" s="13" t="s">
        <v>54</v>
      </c>
      <c r="M883" s="14">
        <v>188</v>
      </c>
      <c r="N883" s="13" t="s">
        <v>55</v>
      </c>
      <c r="O883" s="13" t="s">
        <v>56</v>
      </c>
      <c r="P883" s="13" t="s">
        <v>4181</v>
      </c>
      <c r="Q883" s="14" t="s">
        <v>182</v>
      </c>
      <c r="R883" s="13" t="s">
        <v>33</v>
      </c>
      <c r="S883" s="13" t="s">
        <v>47</v>
      </c>
      <c r="T883" s="15">
        <v>3</v>
      </c>
      <c r="U883" s="13"/>
      <c r="V883" s="15">
        <v>0</v>
      </c>
      <c r="W883" s="13" t="s">
        <v>48</v>
      </c>
      <c r="X883" s="15" t="s">
        <v>36</v>
      </c>
      <c r="Y883" s="13" t="s">
        <v>37</v>
      </c>
    </row>
    <row x14ac:dyDescent="0.25" r="884" customHeight="1" ht="18.75">
      <c r="A884" s="5">
        <v>74021713</v>
      </c>
      <c r="B884" s="6">
        <v>2443</v>
      </c>
      <c r="C884" s="7" t="s">
        <v>4182</v>
      </c>
      <c r="D884" s="7" t="s">
        <v>4183</v>
      </c>
      <c r="E884" s="8">
        <v>74021713</v>
      </c>
      <c r="F884" s="8">
        <v>2443</v>
      </c>
      <c r="G884" s="7" t="s">
        <v>27</v>
      </c>
      <c r="H884" s="7" t="s">
        <v>4184</v>
      </c>
      <c r="I884" s="7" t="s">
        <v>4185</v>
      </c>
      <c r="J884" s="8">
        <f>79218975485</f>
      </c>
      <c r="K884" s="9"/>
      <c r="L884" s="7" t="s">
        <v>54</v>
      </c>
      <c r="M884" s="8">
        <v>188</v>
      </c>
      <c r="N884" s="7" t="s">
        <v>55</v>
      </c>
      <c r="O884" s="7" t="s">
        <v>56</v>
      </c>
      <c r="P884" s="7" t="s">
        <v>57</v>
      </c>
      <c r="Q884" s="8" t="s">
        <v>58</v>
      </c>
      <c r="R884" s="7" t="s">
        <v>33</v>
      </c>
      <c r="S884" s="7" t="s">
        <v>47</v>
      </c>
      <c r="T884" s="10">
        <v>6</v>
      </c>
      <c r="U884" s="7"/>
      <c r="V884" s="10">
        <v>0</v>
      </c>
      <c r="W884" s="7" t="s">
        <v>48</v>
      </c>
      <c r="X884" s="10" t="s">
        <v>36</v>
      </c>
      <c r="Y884" s="7" t="s">
        <v>37</v>
      </c>
    </row>
    <row x14ac:dyDescent="0.25" r="885" customHeight="1" ht="18.75">
      <c r="A885" s="11">
        <v>74021714</v>
      </c>
      <c r="B885" s="12">
        <v>2444</v>
      </c>
      <c r="C885" s="13" t="s">
        <v>4186</v>
      </c>
      <c r="D885" s="13" t="s">
        <v>4187</v>
      </c>
      <c r="E885" s="14">
        <v>74021714</v>
      </c>
      <c r="F885" s="14">
        <v>2444</v>
      </c>
      <c r="G885" s="13" t="s">
        <v>27</v>
      </c>
      <c r="H885" s="13" t="s">
        <v>4188</v>
      </c>
      <c r="I885" s="13" t="s">
        <v>4189</v>
      </c>
      <c r="J885" s="14">
        <f>79296020681</f>
      </c>
      <c r="K885" s="9"/>
      <c r="L885" s="13" t="s">
        <v>544</v>
      </c>
      <c r="M885" s="14">
        <v>74</v>
      </c>
      <c r="N885" s="13" t="s">
        <v>545</v>
      </c>
      <c r="O885" s="13" t="s">
        <v>232</v>
      </c>
      <c r="P885" s="13" t="s">
        <v>2153</v>
      </c>
      <c r="Q885" s="14" t="s">
        <v>4190</v>
      </c>
      <c r="R885" s="13" t="s">
        <v>33</v>
      </c>
      <c r="S885" s="13" t="s">
        <v>47</v>
      </c>
      <c r="T885" s="15">
        <v>3</v>
      </c>
      <c r="U885" s="13"/>
      <c r="V885" s="15">
        <v>0</v>
      </c>
      <c r="W885" s="13" t="s">
        <v>48</v>
      </c>
      <c r="X885" s="15" t="s">
        <v>472</v>
      </c>
      <c r="Y885" s="13" t="s">
        <v>37</v>
      </c>
    </row>
    <row x14ac:dyDescent="0.25" r="886" customHeight="1" ht="18.75">
      <c r="A886" s="5">
        <v>74021715</v>
      </c>
      <c r="B886" s="6">
        <v>2447</v>
      </c>
      <c r="C886" s="7" t="s">
        <v>4191</v>
      </c>
      <c r="D886" s="7" t="s">
        <v>4192</v>
      </c>
      <c r="E886" s="8">
        <v>74021715</v>
      </c>
      <c r="F886" s="8">
        <v>2447</v>
      </c>
      <c r="G886" s="7" t="s">
        <v>27</v>
      </c>
      <c r="H886" s="7" t="s">
        <v>4193</v>
      </c>
      <c r="I886" s="7" t="s">
        <v>4194</v>
      </c>
      <c r="J886" s="8">
        <f>79269014229</f>
      </c>
      <c r="K886" s="9"/>
      <c r="L886" s="7" t="s">
        <v>544</v>
      </c>
      <c r="M886" s="8">
        <v>74</v>
      </c>
      <c r="N886" s="7" t="s">
        <v>545</v>
      </c>
      <c r="O886" s="7" t="s">
        <v>232</v>
      </c>
      <c r="P886" s="7" t="s">
        <v>4195</v>
      </c>
      <c r="Q886" s="8" t="s">
        <v>1219</v>
      </c>
      <c r="R886" s="7" t="s">
        <v>33</v>
      </c>
      <c r="S886" s="7" t="s">
        <v>47</v>
      </c>
      <c r="T886" s="10">
        <v>5</v>
      </c>
      <c r="U886" s="7"/>
      <c r="V886" s="10">
        <v>0</v>
      </c>
      <c r="W886" s="7" t="s">
        <v>48</v>
      </c>
      <c r="X886" s="10" t="s">
        <v>472</v>
      </c>
      <c r="Y886" s="7" t="s">
        <v>37</v>
      </c>
    </row>
    <row x14ac:dyDescent="0.25" r="887" customHeight="1" ht="18.75">
      <c r="A887" s="11">
        <v>74321715</v>
      </c>
      <c r="B887" s="12">
        <v>2461</v>
      </c>
      <c r="C887" s="13" t="s">
        <v>4196</v>
      </c>
      <c r="D887" s="13" t="s">
        <v>4197</v>
      </c>
      <c r="E887" s="14">
        <v>74321715</v>
      </c>
      <c r="F887" s="14">
        <v>2461</v>
      </c>
      <c r="G887" s="13" t="s">
        <v>27</v>
      </c>
      <c r="H887" s="13" t="s">
        <v>4198</v>
      </c>
      <c r="I887" s="13" t="s">
        <v>4199</v>
      </c>
      <c r="J887" s="14">
        <f>74952408424</f>
      </c>
      <c r="K887" s="14">
        <v>6562</v>
      </c>
      <c r="L887" s="13" t="s">
        <v>1276</v>
      </c>
      <c r="M887" s="14">
        <v>105</v>
      </c>
      <c r="N887" s="13" t="s">
        <v>1277</v>
      </c>
      <c r="O887" s="13" t="s">
        <v>32</v>
      </c>
      <c r="P887" s="13" t="s">
        <v>32</v>
      </c>
      <c r="Q887" s="14" t="s">
        <v>58</v>
      </c>
      <c r="R887" s="13" t="s">
        <v>33</v>
      </c>
      <c r="S887" s="13" t="s">
        <v>47</v>
      </c>
      <c r="T887" s="15">
        <v>2</v>
      </c>
      <c r="U887" s="13"/>
      <c r="V887" s="15">
        <v>0</v>
      </c>
      <c r="W887" s="13" t="s">
        <v>48</v>
      </c>
      <c r="X887" s="15" t="s">
        <v>36</v>
      </c>
      <c r="Y887" s="13" t="s">
        <v>37</v>
      </c>
    </row>
    <row x14ac:dyDescent="0.25" r="888" customHeight="1" ht="18.75">
      <c r="A888" s="5">
        <v>74321709</v>
      </c>
      <c r="B888" s="6">
        <v>2462</v>
      </c>
      <c r="C888" s="7" t="s">
        <v>4200</v>
      </c>
      <c r="D888" s="7" t="s">
        <v>4201</v>
      </c>
      <c r="E888" s="8">
        <v>74321709</v>
      </c>
      <c r="F888" s="8">
        <v>2462</v>
      </c>
      <c r="G888" s="7" t="s">
        <v>27</v>
      </c>
      <c r="H888" s="7" t="s">
        <v>4202</v>
      </c>
      <c r="I888" s="7" t="s">
        <v>4203</v>
      </c>
      <c r="J888" s="8">
        <f>74952408424</f>
      </c>
      <c r="K888" s="8">
        <v>6561</v>
      </c>
      <c r="L888" s="7" t="s">
        <v>1276</v>
      </c>
      <c r="M888" s="8">
        <v>105</v>
      </c>
      <c r="N888" s="7" t="s">
        <v>1277</v>
      </c>
      <c r="O888" s="7" t="s">
        <v>82</v>
      </c>
      <c r="P888" s="7" t="s">
        <v>268</v>
      </c>
      <c r="Q888" s="8" t="s">
        <v>58</v>
      </c>
      <c r="R888" s="7" t="s">
        <v>33</v>
      </c>
      <c r="S888" s="7" t="s">
        <v>47</v>
      </c>
      <c r="T888" s="10">
        <v>2</v>
      </c>
      <c r="U888" s="7" t="s">
        <v>48</v>
      </c>
      <c r="V888" s="10" t="s">
        <v>214</v>
      </c>
      <c r="W888" s="7" t="s">
        <v>48</v>
      </c>
      <c r="X888" s="10" t="s">
        <v>36</v>
      </c>
      <c r="Y888" s="7" t="s">
        <v>59</v>
      </c>
    </row>
    <row x14ac:dyDescent="0.25" r="889" customHeight="1" ht="18.75">
      <c r="A889" s="11">
        <v>74321718</v>
      </c>
      <c r="B889" s="12">
        <v>2463</v>
      </c>
      <c r="C889" s="13" t="s">
        <v>4204</v>
      </c>
      <c r="D889" s="13" t="s">
        <v>4205</v>
      </c>
      <c r="E889" s="14">
        <v>74321718</v>
      </c>
      <c r="F889" s="14">
        <v>2463</v>
      </c>
      <c r="G889" s="13" t="s">
        <v>27</v>
      </c>
      <c r="H889" s="13" t="s">
        <v>4206</v>
      </c>
      <c r="I889" s="13" t="s">
        <v>4207</v>
      </c>
      <c r="J889" s="14">
        <f>74952408424</f>
      </c>
      <c r="K889" s="14">
        <v>9563</v>
      </c>
      <c r="L889" s="13" t="s">
        <v>1276</v>
      </c>
      <c r="M889" s="14">
        <v>105</v>
      </c>
      <c r="N889" s="13" t="s">
        <v>1277</v>
      </c>
      <c r="O889" s="13" t="s">
        <v>32</v>
      </c>
      <c r="P889" s="13" t="s">
        <v>32</v>
      </c>
      <c r="Q889" s="14" t="s">
        <v>58</v>
      </c>
      <c r="R889" s="13" t="s">
        <v>33</v>
      </c>
      <c r="S889" s="13" t="s">
        <v>47</v>
      </c>
      <c r="T889" s="15">
        <v>2</v>
      </c>
      <c r="U889" s="13" t="s">
        <v>35</v>
      </c>
      <c r="V889" s="15" t="s">
        <v>64</v>
      </c>
      <c r="W889" s="13" t="s">
        <v>48</v>
      </c>
      <c r="X889" s="15" t="s">
        <v>36</v>
      </c>
      <c r="Y889" s="13" t="s">
        <v>37</v>
      </c>
    </row>
    <row x14ac:dyDescent="0.25" r="890" customHeight="1" ht="18.75">
      <c r="A890" s="5">
        <v>74321717</v>
      </c>
      <c r="B890" s="6">
        <v>2464</v>
      </c>
      <c r="C890" s="7" t="s">
        <v>4208</v>
      </c>
      <c r="D890" s="7" t="s">
        <v>4209</v>
      </c>
      <c r="E890" s="8">
        <v>74321717</v>
      </c>
      <c r="F890" s="8">
        <v>2464</v>
      </c>
      <c r="G890" s="7" t="s">
        <v>27</v>
      </c>
      <c r="H890" s="7" t="s">
        <v>4210</v>
      </c>
      <c r="I890" s="7" t="s">
        <v>4211</v>
      </c>
      <c r="J890" s="8">
        <f>74952408424</f>
      </c>
      <c r="K890" s="8">
        <v>6564</v>
      </c>
      <c r="L890" s="7" t="s">
        <v>1276</v>
      </c>
      <c r="M890" s="8">
        <v>105</v>
      </c>
      <c r="N890" s="7" t="s">
        <v>1277</v>
      </c>
      <c r="O890" s="7" t="s">
        <v>32</v>
      </c>
      <c r="P890" s="7" t="s">
        <v>32</v>
      </c>
      <c r="Q890" s="8" t="s">
        <v>58</v>
      </c>
      <c r="R890" s="7" t="s">
        <v>33</v>
      </c>
      <c r="S890" s="7" t="s">
        <v>47</v>
      </c>
      <c r="T890" s="10">
        <v>2</v>
      </c>
      <c r="U890" s="7"/>
      <c r="V890" s="10">
        <v>0</v>
      </c>
      <c r="W890" s="7" t="s">
        <v>35</v>
      </c>
      <c r="X890" s="10" t="s">
        <v>36</v>
      </c>
      <c r="Y890" s="7" t="s">
        <v>59</v>
      </c>
    </row>
    <row x14ac:dyDescent="0.25" r="891" customHeight="1" ht="18.75">
      <c r="A891" s="11">
        <v>74321716</v>
      </c>
      <c r="B891" s="12">
        <v>2465</v>
      </c>
      <c r="C891" s="13" t="s">
        <v>4212</v>
      </c>
      <c r="D891" s="13" t="s">
        <v>4213</v>
      </c>
      <c r="E891" s="14">
        <v>74321716</v>
      </c>
      <c r="F891" s="14">
        <v>2465</v>
      </c>
      <c r="G891" s="13" t="s">
        <v>27</v>
      </c>
      <c r="H891" s="13" t="s">
        <v>4214</v>
      </c>
      <c r="I891" s="13" t="s">
        <v>4215</v>
      </c>
      <c r="J891" s="14">
        <f>74952408424</f>
      </c>
      <c r="K891" s="14">
        <v>6565</v>
      </c>
      <c r="L891" s="13" t="s">
        <v>1276</v>
      </c>
      <c r="M891" s="14">
        <v>105</v>
      </c>
      <c r="N891" s="13" t="s">
        <v>1277</v>
      </c>
      <c r="O891" s="13" t="s">
        <v>32</v>
      </c>
      <c r="P891" s="13" t="s">
        <v>32</v>
      </c>
      <c r="Q891" s="14" t="s">
        <v>58</v>
      </c>
      <c r="R891" s="13" t="s">
        <v>33</v>
      </c>
      <c r="S891" s="13" t="s">
        <v>47</v>
      </c>
      <c r="T891" s="15">
        <v>2</v>
      </c>
      <c r="U891" s="13" t="s">
        <v>48</v>
      </c>
      <c r="V891" s="15" t="s">
        <v>214</v>
      </c>
      <c r="W891" s="13" t="s">
        <v>48</v>
      </c>
      <c r="X891" s="15" t="s">
        <v>36</v>
      </c>
      <c r="Y891" s="13" t="s">
        <v>37</v>
      </c>
    </row>
    <row x14ac:dyDescent="0.25" r="892" customHeight="1" ht="18.75">
      <c r="A892" s="5">
        <v>74321714</v>
      </c>
      <c r="B892" s="6">
        <v>2466</v>
      </c>
      <c r="C892" s="7" t="s">
        <v>4216</v>
      </c>
      <c r="D892" s="7" t="s">
        <v>4217</v>
      </c>
      <c r="E892" s="8">
        <v>74321714</v>
      </c>
      <c r="F892" s="8">
        <v>2466</v>
      </c>
      <c r="G892" s="7" t="s">
        <v>27</v>
      </c>
      <c r="H892" s="7" t="s">
        <v>4218</v>
      </c>
      <c r="I892" s="7" t="s">
        <v>4219</v>
      </c>
      <c r="J892" s="8">
        <f>74952408424</f>
      </c>
      <c r="K892" s="8">
        <v>6572</v>
      </c>
      <c r="L892" s="7" t="s">
        <v>1276</v>
      </c>
      <c r="M892" s="8">
        <v>105</v>
      </c>
      <c r="N892" s="7" t="s">
        <v>1277</v>
      </c>
      <c r="O892" s="7" t="s">
        <v>32</v>
      </c>
      <c r="P892" s="7" t="s">
        <v>32</v>
      </c>
      <c r="Q892" s="8" t="s">
        <v>58</v>
      </c>
      <c r="R892" s="7" t="s">
        <v>33</v>
      </c>
      <c r="S892" s="7" t="s">
        <v>47</v>
      </c>
      <c r="T892" s="10">
        <v>3</v>
      </c>
      <c r="U892" s="7" t="s">
        <v>35</v>
      </c>
      <c r="V892" s="10" t="s">
        <v>64</v>
      </c>
      <c r="W892" s="7" t="s">
        <v>48</v>
      </c>
      <c r="X892" s="10" t="s">
        <v>36</v>
      </c>
      <c r="Y892" s="7" t="s">
        <v>37</v>
      </c>
    </row>
    <row x14ac:dyDescent="0.25" r="893" customHeight="1" ht="18.75">
      <c r="A893" s="11">
        <v>74321719</v>
      </c>
      <c r="B893" s="12">
        <v>2471</v>
      </c>
      <c r="C893" s="13" t="s">
        <v>4220</v>
      </c>
      <c r="D893" s="13" t="s">
        <v>4221</v>
      </c>
      <c r="E893" s="14">
        <v>74321719</v>
      </c>
      <c r="F893" s="14">
        <v>2471</v>
      </c>
      <c r="G893" s="13" t="s">
        <v>27</v>
      </c>
      <c r="H893" s="13" t="s">
        <v>4222</v>
      </c>
      <c r="I893" s="13" t="s">
        <v>4223</v>
      </c>
      <c r="J893" s="14">
        <f>74952408424</f>
      </c>
      <c r="K893" s="14">
        <v>6569</v>
      </c>
      <c r="L893" s="13" t="s">
        <v>1276</v>
      </c>
      <c r="M893" s="14">
        <v>105</v>
      </c>
      <c r="N893" s="13" t="s">
        <v>1277</v>
      </c>
      <c r="O893" s="13" t="s">
        <v>82</v>
      </c>
      <c r="P893" s="13" t="s">
        <v>3111</v>
      </c>
      <c r="Q893" s="14" t="s">
        <v>58</v>
      </c>
      <c r="R893" s="13" t="s">
        <v>33</v>
      </c>
      <c r="S893" s="13" t="s">
        <v>47</v>
      </c>
      <c r="T893" s="15">
        <v>3</v>
      </c>
      <c r="U893" s="13"/>
      <c r="V893" s="15">
        <v>0</v>
      </c>
      <c r="W893" s="13" t="s">
        <v>48</v>
      </c>
      <c r="X893" s="15" t="s">
        <v>65</v>
      </c>
      <c r="Y893" s="13" t="s">
        <v>59</v>
      </c>
    </row>
    <row x14ac:dyDescent="0.25" r="894" customHeight="1" ht="18.75">
      <c r="A894" s="5">
        <v>74321721</v>
      </c>
      <c r="B894" s="6">
        <v>2482</v>
      </c>
      <c r="C894" s="7" t="s">
        <v>4224</v>
      </c>
      <c r="D894" s="7" t="s">
        <v>4225</v>
      </c>
      <c r="E894" s="8">
        <v>74321721</v>
      </c>
      <c r="F894" s="8">
        <v>2482</v>
      </c>
      <c r="G894" s="7" t="s">
        <v>27</v>
      </c>
      <c r="H894" s="7" t="s">
        <v>4226</v>
      </c>
      <c r="I894" s="7" t="s">
        <v>4227</v>
      </c>
      <c r="J894" s="8">
        <f>74952408424</f>
      </c>
      <c r="K894" s="8">
        <v>6567</v>
      </c>
      <c r="L894" s="7" t="s">
        <v>1276</v>
      </c>
      <c r="M894" s="8">
        <v>105</v>
      </c>
      <c r="N894" s="7" t="s">
        <v>1277</v>
      </c>
      <c r="O894" s="7" t="s">
        <v>96</v>
      </c>
      <c r="P894" s="7" t="s">
        <v>2197</v>
      </c>
      <c r="Q894" s="8" t="s">
        <v>182</v>
      </c>
      <c r="R894" s="7" t="s">
        <v>33</v>
      </c>
      <c r="S894" s="7" t="s">
        <v>47</v>
      </c>
      <c r="T894" s="10">
        <v>3</v>
      </c>
      <c r="U894" s="7"/>
      <c r="V894" s="10">
        <v>0</v>
      </c>
      <c r="W894" s="7" t="s">
        <v>48</v>
      </c>
      <c r="X894" s="10" t="s">
        <v>65</v>
      </c>
      <c r="Y894" s="7" t="s">
        <v>37</v>
      </c>
    </row>
    <row x14ac:dyDescent="0.25" r="895" customHeight="1" ht="18.75">
      <c r="A895" s="11">
        <v>74321722</v>
      </c>
      <c r="B895" s="12">
        <v>2483</v>
      </c>
      <c r="C895" s="13" t="s">
        <v>4228</v>
      </c>
      <c r="D895" s="13" t="s">
        <v>4229</v>
      </c>
      <c r="E895" s="14">
        <v>74321722</v>
      </c>
      <c r="F895" s="14">
        <v>2483</v>
      </c>
      <c r="G895" s="13" t="s">
        <v>27</v>
      </c>
      <c r="H895" s="13" t="s">
        <v>4230</v>
      </c>
      <c r="I895" s="13" t="s">
        <v>4231</v>
      </c>
      <c r="J895" s="14">
        <f>74952408424</f>
      </c>
      <c r="K895" s="16">
        <v>6570.957</v>
      </c>
      <c r="L895" s="13" t="s">
        <v>1276</v>
      </c>
      <c r="M895" s="14">
        <v>105</v>
      </c>
      <c r="N895" s="13" t="s">
        <v>1277</v>
      </c>
      <c r="O895" s="13" t="s">
        <v>82</v>
      </c>
      <c r="P895" s="13" t="s">
        <v>3370</v>
      </c>
      <c r="Q895" s="14" t="s">
        <v>58</v>
      </c>
      <c r="R895" s="13" t="s">
        <v>33</v>
      </c>
      <c r="S895" s="13" t="s">
        <v>47</v>
      </c>
      <c r="T895" s="15">
        <v>4</v>
      </c>
      <c r="U895" s="13"/>
      <c r="V895" s="15">
        <v>0</v>
      </c>
      <c r="W895" s="13" t="s">
        <v>48</v>
      </c>
      <c r="X895" s="15" t="s">
        <v>36</v>
      </c>
      <c r="Y895" s="13" t="s">
        <v>59</v>
      </c>
    </row>
    <row x14ac:dyDescent="0.25" r="896" customHeight="1" ht="18.75">
      <c r="A896" s="5">
        <v>74021733</v>
      </c>
      <c r="B896" s="6">
        <v>2535</v>
      </c>
      <c r="C896" s="7" t="s">
        <v>4232</v>
      </c>
      <c r="D896" s="7" t="s">
        <v>4233</v>
      </c>
      <c r="E896" s="8">
        <v>74021733</v>
      </c>
      <c r="F896" s="8">
        <v>2535</v>
      </c>
      <c r="G896" s="7" t="s">
        <v>27</v>
      </c>
      <c r="H896" s="7" t="s">
        <v>4234</v>
      </c>
      <c r="I896" s="7" t="s">
        <v>4235</v>
      </c>
      <c r="J896" s="8">
        <f>79034019957</f>
      </c>
      <c r="K896" s="9"/>
      <c r="L896" s="7" t="s">
        <v>117</v>
      </c>
      <c r="M896" s="8">
        <v>210</v>
      </c>
      <c r="N896" s="7" t="s">
        <v>118</v>
      </c>
      <c r="O896" s="7" t="s">
        <v>119</v>
      </c>
      <c r="P896" s="7" t="s">
        <v>120</v>
      </c>
      <c r="Q896" s="8" t="s">
        <v>58</v>
      </c>
      <c r="R896" s="7" t="s">
        <v>33</v>
      </c>
      <c r="S896" s="7" t="s">
        <v>47</v>
      </c>
      <c r="T896" s="10">
        <v>3</v>
      </c>
      <c r="U896" s="7"/>
      <c r="V896" s="10">
        <v>0</v>
      </c>
      <c r="W896" s="7" t="s">
        <v>48</v>
      </c>
      <c r="X896" s="10" t="s">
        <v>472</v>
      </c>
      <c r="Y896" s="7" t="s">
        <v>84</v>
      </c>
    </row>
    <row x14ac:dyDescent="0.25" r="897" customHeight="1" ht="18.75">
      <c r="A897" s="11">
        <v>74021735</v>
      </c>
      <c r="B897" s="12">
        <v>2551</v>
      </c>
      <c r="C897" s="13" t="s">
        <v>4236</v>
      </c>
      <c r="D897" s="13" t="s">
        <v>4237</v>
      </c>
      <c r="E897" s="14">
        <v>74021735</v>
      </c>
      <c r="F897" s="14">
        <v>2551</v>
      </c>
      <c r="G897" s="13" t="s">
        <v>27</v>
      </c>
      <c r="H897" s="13" t="s">
        <v>4238</v>
      </c>
      <c r="I897" s="13" t="s">
        <v>4239</v>
      </c>
      <c r="J897" s="14">
        <f>79105219501</f>
      </c>
      <c r="K897" s="9"/>
      <c r="L897" s="13" t="s">
        <v>230</v>
      </c>
      <c r="M897" s="14">
        <v>150</v>
      </c>
      <c r="N897" s="13" t="s">
        <v>1734</v>
      </c>
      <c r="O897" s="13" t="s">
        <v>232</v>
      </c>
      <c r="P897" s="13" t="s">
        <v>233</v>
      </c>
      <c r="Q897" s="14" t="s">
        <v>4240</v>
      </c>
      <c r="R897" s="13" t="s">
        <v>33</v>
      </c>
      <c r="S897" s="13" t="s">
        <v>47</v>
      </c>
      <c r="T897" s="15">
        <v>4</v>
      </c>
      <c r="U897" s="13"/>
      <c r="V897" s="15">
        <v>0</v>
      </c>
      <c r="W897" s="13" t="s">
        <v>48</v>
      </c>
      <c r="X897" s="15" t="s">
        <v>36</v>
      </c>
      <c r="Y897" s="13" t="s">
        <v>126</v>
      </c>
    </row>
    <row x14ac:dyDescent="0.25" r="898" customHeight="1" ht="18.75">
      <c r="A898" s="5">
        <v>74021736</v>
      </c>
      <c r="B898" s="6">
        <v>2552</v>
      </c>
      <c r="C898" s="7" t="s">
        <v>4241</v>
      </c>
      <c r="D898" s="7" t="s">
        <v>4242</v>
      </c>
      <c r="E898" s="8">
        <v>74021736</v>
      </c>
      <c r="F898" s="8">
        <v>2552</v>
      </c>
      <c r="G898" s="7" t="s">
        <v>27</v>
      </c>
      <c r="H898" s="7" t="s">
        <v>4243</v>
      </c>
      <c r="I898" s="7" t="s">
        <v>4244</v>
      </c>
      <c r="J898" s="8">
        <f>73412310599</f>
      </c>
      <c r="K898" s="9"/>
      <c r="L898" s="7" t="s">
        <v>42</v>
      </c>
      <c r="M898" s="8">
        <v>132</v>
      </c>
      <c r="N898" s="7" t="s">
        <v>820</v>
      </c>
      <c r="O898" s="7" t="s">
        <v>44</v>
      </c>
      <c r="P898" s="7" t="s">
        <v>4245</v>
      </c>
      <c r="Q898" s="8" t="s">
        <v>4246</v>
      </c>
      <c r="R898" s="7" t="s">
        <v>33</v>
      </c>
      <c r="S898" s="7" t="s">
        <v>47</v>
      </c>
      <c r="T898" s="10">
        <v>3</v>
      </c>
      <c r="U898" s="7"/>
      <c r="V898" s="10">
        <v>0</v>
      </c>
      <c r="W898" s="7" t="s">
        <v>48</v>
      </c>
      <c r="X898" s="10" t="s">
        <v>36</v>
      </c>
      <c r="Y898" s="7" t="s">
        <v>126</v>
      </c>
    </row>
    <row x14ac:dyDescent="0.25" r="899" customHeight="1" ht="18.75">
      <c r="A899" s="11">
        <v>74021737</v>
      </c>
      <c r="B899" s="12">
        <v>2553</v>
      </c>
      <c r="C899" s="13" t="s">
        <v>4247</v>
      </c>
      <c r="D899" s="13" t="s">
        <v>4248</v>
      </c>
      <c r="E899" s="14">
        <v>74021737</v>
      </c>
      <c r="F899" s="14">
        <v>2553</v>
      </c>
      <c r="G899" s="13" t="s">
        <v>27</v>
      </c>
      <c r="H899" s="13" t="s">
        <v>4249</v>
      </c>
      <c r="I899" s="13" t="s">
        <v>4250</v>
      </c>
      <c r="J899" s="14">
        <f>78552920030</f>
      </c>
      <c r="K899" s="9"/>
      <c r="L899" s="13" t="s">
        <v>42</v>
      </c>
      <c r="M899" s="14">
        <v>89</v>
      </c>
      <c r="N899" s="13" t="s">
        <v>43</v>
      </c>
      <c r="O899" s="13" t="s">
        <v>44</v>
      </c>
      <c r="P899" s="13" t="s">
        <v>140</v>
      </c>
      <c r="Q899" s="14" t="s">
        <v>4251</v>
      </c>
      <c r="R899" s="13" t="s">
        <v>33</v>
      </c>
      <c r="S899" s="13" t="s">
        <v>47</v>
      </c>
      <c r="T899" s="15">
        <v>4</v>
      </c>
      <c r="U899" s="13"/>
      <c r="V899" s="15">
        <v>0</v>
      </c>
      <c r="W899" s="13" t="s">
        <v>48</v>
      </c>
      <c r="X899" s="15" t="s">
        <v>36</v>
      </c>
      <c r="Y899" s="13" t="s">
        <v>37</v>
      </c>
    </row>
    <row x14ac:dyDescent="0.25" r="900" customHeight="1" ht="18.75">
      <c r="A900" s="5">
        <v>74021738</v>
      </c>
      <c r="B900" s="6">
        <v>2554</v>
      </c>
      <c r="C900" s="7" t="s">
        <v>4252</v>
      </c>
      <c r="D900" s="7" t="s">
        <v>4253</v>
      </c>
      <c r="E900" s="8">
        <v>74021738</v>
      </c>
      <c r="F900" s="8">
        <v>2554</v>
      </c>
      <c r="G900" s="7" t="s">
        <v>27</v>
      </c>
      <c r="H900" s="7" t="s">
        <v>4254</v>
      </c>
      <c r="I900" s="7" t="s">
        <v>4255</v>
      </c>
      <c r="J900" s="8">
        <f>79283300517</f>
      </c>
      <c r="K900" s="9"/>
      <c r="L900" s="7" t="s">
        <v>54</v>
      </c>
      <c r="M900" s="8">
        <v>188</v>
      </c>
      <c r="N900" s="7" t="s">
        <v>55</v>
      </c>
      <c r="O900" s="7" t="s">
        <v>119</v>
      </c>
      <c r="P900" s="7" t="s">
        <v>4256</v>
      </c>
      <c r="Q900" s="8" t="s">
        <v>1039</v>
      </c>
      <c r="R900" s="7" t="s">
        <v>33</v>
      </c>
      <c r="S900" s="7" t="s">
        <v>47</v>
      </c>
      <c r="T900" s="10">
        <v>3</v>
      </c>
      <c r="U900" s="7"/>
      <c r="V900" s="10">
        <v>0</v>
      </c>
      <c r="W900" s="7" t="s">
        <v>48</v>
      </c>
      <c r="X900" s="10" t="s">
        <v>36</v>
      </c>
      <c r="Y900" s="7" t="s">
        <v>126</v>
      </c>
    </row>
    <row x14ac:dyDescent="0.25" r="901" customHeight="1" ht="18.75">
      <c r="A901" s="11">
        <v>74021740</v>
      </c>
      <c r="B901" s="12">
        <v>2572</v>
      </c>
      <c r="C901" s="13" t="s">
        <v>4257</v>
      </c>
      <c r="D901" s="13" t="s">
        <v>4258</v>
      </c>
      <c r="E901" s="14">
        <v>74021740</v>
      </c>
      <c r="F901" s="14">
        <v>2572</v>
      </c>
      <c r="G901" s="13" t="s">
        <v>27</v>
      </c>
      <c r="H901" s="13" t="s">
        <v>4259</v>
      </c>
      <c r="I901" s="13" t="s">
        <v>4260</v>
      </c>
      <c r="J901" s="14">
        <f>79269016595</f>
      </c>
      <c r="K901" s="9"/>
      <c r="L901" s="13" t="s">
        <v>544</v>
      </c>
      <c r="M901" s="14">
        <v>74</v>
      </c>
      <c r="N901" s="13" t="s">
        <v>545</v>
      </c>
      <c r="O901" s="13" t="s">
        <v>232</v>
      </c>
      <c r="P901" s="13" t="s">
        <v>1287</v>
      </c>
      <c r="Q901" s="14" t="s">
        <v>58</v>
      </c>
      <c r="R901" s="13" t="s">
        <v>33</v>
      </c>
      <c r="S901" s="13" t="s">
        <v>47</v>
      </c>
      <c r="T901" s="15">
        <v>4</v>
      </c>
      <c r="U901" s="13"/>
      <c r="V901" s="15">
        <v>0</v>
      </c>
      <c r="W901" s="13" t="s">
        <v>48</v>
      </c>
      <c r="X901" s="15" t="s">
        <v>472</v>
      </c>
      <c r="Y901" s="13" t="s">
        <v>126</v>
      </c>
    </row>
    <row x14ac:dyDescent="0.25" r="902" customHeight="1" ht="18.75">
      <c r="A902" s="5">
        <v>74021741</v>
      </c>
      <c r="B902" s="6">
        <v>2581</v>
      </c>
      <c r="C902" s="7" t="s">
        <v>4261</v>
      </c>
      <c r="D902" s="7" t="s">
        <v>4262</v>
      </c>
      <c r="E902" s="8">
        <v>74021741</v>
      </c>
      <c r="F902" s="8">
        <v>2581</v>
      </c>
      <c r="G902" s="7" t="s">
        <v>27</v>
      </c>
      <c r="H902" s="7" t="s">
        <v>4263</v>
      </c>
      <c r="I902" s="7" t="s">
        <v>4264</v>
      </c>
      <c r="J902" s="8">
        <f>79269022679</f>
      </c>
      <c r="K902" s="9"/>
      <c r="L902" s="7" t="s">
        <v>544</v>
      </c>
      <c r="M902" s="8">
        <v>74</v>
      </c>
      <c r="N902" s="7" t="s">
        <v>545</v>
      </c>
      <c r="O902" s="7" t="s">
        <v>232</v>
      </c>
      <c r="P902" s="7" t="s">
        <v>4265</v>
      </c>
      <c r="Q902" s="8" t="s">
        <v>4266</v>
      </c>
      <c r="R902" s="7" t="s">
        <v>33</v>
      </c>
      <c r="S902" s="7" t="s">
        <v>47</v>
      </c>
      <c r="T902" s="10">
        <v>3</v>
      </c>
      <c r="U902" s="7"/>
      <c r="V902" s="10">
        <v>0</v>
      </c>
      <c r="W902" s="7" t="s">
        <v>48</v>
      </c>
      <c r="X902" s="10" t="s">
        <v>472</v>
      </c>
      <c r="Y902" s="7" t="s">
        <v>37</v>
      </c>
    </row>
    <row x14ac:dyDescent="0.25" r="903" customHeight="1" ht="18.75">
      <c r="A903" s="11">
        <v>74321742</v>
      </c>
      <c r="B903" s="12">
        <v>2591</v>
      </c>
      <c r="C903" s="13" t="s">
        <v>4267</v>
      </c>
      <c r="D903" s="13" t="s">
        <v>4268</v>
      </c>
      <c r="E903" s="14">
        <v>74321742</v>
      </c>
      <c r="F903" s="14">
        <v>2591</v>
      </c>
      <c r="G903" s="13" t="s">
        <v>27</v>
      </c>
      <c r="H903" s="13" t="s">
        <v>4269</v>
      </c>
      <c r="I903" s="13" t="s">
        <v>4270</v>
      </c>
      <c r="J903" s="14">
        <f>74952408424</f>
      </c>
      <c r="K903" s="14">
        <v>6573</v>
      </c>
      <c r="L903" s="13" t="s">
        <v>1276</v>
      </c>
      <c r="M903" s="14">
        <v>105</v>
      </c>
      <c r="N903" s="13" t="s">
        <v>1277</v>
      </c>
      <c r="O903" s="13" t="s">
        <v>32</v>
      </c>
      <c r="P903" s="13" t="s">
        <v>32</v>
      </c>
      <c r="Q903" s="14" t="s">
        <v>58</v>
      </c>
      <c r="R903" s="13" t="s">
        <v>33</v>
      </c>
      <c r="S903" s="13" t="s">
        <v>47</v>
      </c>
      <c r="T903" s="15">
        <v>3</v>
      </c>
      <c r="U903" s="13"/>
      <c r="V903" s="15">
        <v>0</v>
      </c>
      <c r="W903" s="13" t="s">
        <v>35</v>
      </c>
      <c r="X903" s="15" t="s">
        <v>36</v>
      </c>
      <c r="Y903" s="13" t="s">
        <v>59</v>
      </c>
    </row>
    <row x14ac:dyDescent="0.25" r="904" customHeight="1" ht="18.75">
      <c r="A904" s="5">
        <v>74021743</v>
      </c>
      <c r="B904" s="6">
        <v>2592</v>
      </c>
      <c r="C904" s="7" t="s">
        <v>4271</v>
      </c>
      <c r="D904" s="7" t="s">
        <v>4272</v>
      </c>
      <c r="E904" s="8">
        <v>74021743</v>
      </c>
      <c r="F904" s="8">
        <v>2592</v>
      </c>
      <c r="G904" s="7" t="s">
        <v>27</v>
      </c>
      <c r="H904" s="7" t="s">
        <v>4273</v>
      </c>
      <c r="I904" s="7" t="s">
        <v>4274</v>
      </c>
      <c r="J904" s="8">
        <f>74950211282</f>
      </c>
      <c r="K904" s="9"/>
      <c r="L904" s="7" t="s">
        <v>1334</v>
      </c>
      <c r="M904" s="8">
        <v>123</v>
      </c>
      <c r="N904" s="7" t="s">
        <v>1335</v>
      </c>
      <c r="O904" s="7" t="s">
        <v>32</v>
      </c>
      <c r="P904" s="7" t="s">
        <v>32</v>
      </c>
      <c r="Q904" s="8" t="s">
        <v>58</v>
      </c>
      <c r="R904" s="7" t="s">
        <v>33</v>
      </c>
      <c r="S904" s="7" t="s">
        <v>47</v>
      </c>
      <c r="T904" s="10">
        <v>3</v>
      </c>
      <c r="U904" s="7" t="s">
        <v>48</v>
      </c>
      <c r="V904" s="10" t="s">
        <v>125</v>
      </c>
      <c r="W904" s="7" t="s">
        <v>35</v>
      </c>
      <c r="X904" s="10" t="s">
        <v>65</v>
      </c>
      <c r="Y904" s="7" t="s">
        <v>37</v>
      </c>
    </row>
    <row x14ac:dyDescent="0.25" r="905" customHeight="1" ht="18.75">
      <c r="A905" s="11">
        <v>74021744</v>
      </c>
      <c r="B905" s="12">
        <v>2593</v>
      </c>
      <c r="C905" s="13" t="s">
        <v>4275</v>
      </c>
      <c r="D905" s="13" t="s">
        <v>4276</v>
      </c>
      <c r="E905" s="14">
        <v>74021744</v>
      </c>
      <c r="F905" s="14">
        <v>2593</v>
      </c>
      <c r="G905" s="13" t="s">
        <v>27</v>
      </c>
      <c r="H905" s="13" t="s">
        <v>4277</v>
      </c>
      <c r="I905" s="13" t="s">
        <v>4278</v>
      </c>
      <c r="J905" s="14">
        <f>74950211301</f>
      </c>
      <c r="K905" s="9"/>
      <c r="L905" s="13" t="s">
        <v>1334</v>
      </c>
      <c r="M905" s="14">
        <v>123</v>
      </c>
      <c r="N905" s="13" t="s">
        <v>1335</v>
      </c>
      <c r="O905" s="13" t="s">
        <v>32</v>
      </c>
      <c r="P905" s="13" t="s">
        <v>32</v>
      </c>
      <c r="Q905" s="14" t="s">
        <v>58</v>
      </c>
      <c r="R905" s="13" t="s">
        <v>33</v>
      </c>
      <c r="S905" s="13" t="s">
        <v>47</v>
      </c>
      <c r="T905" s="15">
        <v>3</v>
      </c>
      <c r="U905" s="13" t="s">
        <v>48</v>
      </c>
      <c r="V905" s="15" t="s">
        <v>64</v>
      </c>
      <c r="W905" s="13" t="s">
        <v>35</v>
      </c>
      <c r="X905" s="15" t="s">
        <v>472</v>
      </c>
      <c r="Y905" s="13" t="s">
        <v>37</v>
      </c>
    </row>
    <row x14ac:dyDescent="0.25" r="906" customHeight="1" ht="18.75">
      <c r="A906" s="5">
        <v>74021745</v>
      </c>
      <c r="B906" s="6">
        <v>2594</v>
      </c>
      <c r="C906" s="7" t="s">
        <v>4279</v>
      </c>
      <c r="D906" s="7" t="s">
        <v>4280</v>
      </c>
      <c r="E906" s="8">
        <v>74021745</v>
      </c>
      <c r="F906" s="8">
        <v>2594</v>
      </c>
      <c r="G906" s="7" t="s">
        <v>27</v>
      </c>
      <c r="H906" s="7" t="s">
        <v>4281</v>
      </c>
      <c r="I906" s="7" t="s">
        <v>4282</v>
      </c>
      <c r="J906" s="8">
        <f>74950211522</f>
      </c>
      <c r="K906" s="9"/>
      <c r="L906" s="7" t="s">
        <v>1334</v>
      </c>
      <c r="M906" s="8">
        <v>123</v>
      </c>
      <c r="N906" s="7" t="s">
        <v>1335</v>
      </c>
      <c r="O906" s="7" t="s">
        <v>32</v>
      </c>
      <c r="P906" s="7" t="s">
        <v>32</v>
      </c>
      <c r="Q906" s="8" t="s">
        <v>58</v>
      </c>
      <c r="R906" s="7" t="s">
        <v>33</v>
      </c>
      <c r="S906" s="7" t="s">
        <v>47</v>
      </c>
      <c r="T906" s="10">
        <v>3</v>
      </c>
      <c r="U906" s="7" t="s">
        <v>48</v>
      </c>
      <c r="V906" s="10" t="s">
        <v>64</v>
      </c>
      <c r="W906" s="7" t="s">
        <v>35</v>
      </c>
      <c r="X906" s="10" t="s">
        <v>472</v>
      </c>
      <c r="Y906" s="7" t="s">
        <v>37</v>
      </c>
    </row>
    <row x14ac:dyDescent="0.25" r="907" customHeight="1" ht="18.75">
      <c r="A907" s="11">
        <v>74021746</v>
      </c>
      <c r="B907" s="12">
        <v>2595</v>
      </c>
      <c r="C907" s="13" t="s">
        <v>4283</v>
      </c>
      <c r="D907" s="13" t="s">
        <v>4284</v>
      </c>
      <c r="E907" s="14">
        <v>74021746</v>
      </c>
      <c r="F907" s="14">
        <v>2595</v>
      </c>
      <c r="G907" s="13" t="s">
        <v>27</v>
      </c>
      <c r="H907" s="13" t="s">
        <v>4285</v>
      </c>
      <c r="I907" s="13" t="s">
        <v>4286</v>
      </c>
      <c r="J907" s="14">
        <f>74950211292</f>
      </c>
      <c r="K907" s="9"/>
      <c r="L907" s="13" t="s">
        <v>1334</v>
      </c>
      <c r="M907" s="14">
        <v>123</v>
      </c>
      <c r="N907" s="13" t="s">
        <v>1335</v>
      </c>
      <c r="O907" s="13" t="s">
        <v>32</v>
      </c>
      <c r="P907" s="13" t="s">
        <v>32</v>
      </c>
      <c r="Q907" s="14" t="s">
        <v>58</v>
      </c>
      <c r="R907" s="13" t="s">
        <v>33</v>
      </c>
      <c r="S907" s="13" t="s">
        <v>47</v>
      </c>
      <c r="T907" s="15">
        <v>3</v>
      </c>
      <c r="U907" s="13" t="s">
        <v>48</v>
      </c>
      <c r="V907" s="15" t="s">
        <v>64</v>
      </c>
      <c r="W907" s="13" t="s">
        <v>35</v>
      </c>
      <c r="X907" s="15" t="s">
        <v>712</v>
      </c>
      <c r="Y907" s="13" t="s">
        <v>37</v>
      </c>
    </row>
    <row x14ac:dyDescent="0.25" r="908" customHeight="1" ht="18.75">
      <c r="A908" s="5">
        <v>74021747</v>
      </c>
      <c r="B908" s="6">
        <v>2596</v>
      </c>
      <c r="C908" s="7" t="s">
        <v>4287</v>
      </c>
      <c r="D908" s="7" t="s">
        <v>4288</v>
      </c>
      <c r="E908" s="8">
        <v>74021747</v>
      </c>
      <c r="F908" s="8">
        <v>2596</v>
      </c>
      <c r="G908" s="7" t="s">
        <v>27</v>
      </c>
      <c r="H908" s="7" t="s">
        <v>4289</v>
      </c>
      <c r="I908" s="7" t="s">
        <v>4290</v>
      </c>
      <c r="J908" s="8">
        <f>74950211387</f>
      </c>
      <c r="K908" s="9"/>
      <c r="L908" s="7" t="s">
        <v>1334</v>
      </c>
      <c r="M908" s="8">
        <v>123</v>
      </c>
      <c r="N908" s="7" t="s">
        <v>1335</v>
      </c>
      <c r="O908" s="7" t="s">
        <v>32</v>
      </c>
      <c r="P908" s="7" t="s">
        <v>32</v>
      </c>
      <c r="Q908" s="8" t="s">
        <v>58</v>
      </c>
      <c r="R908" s="7" t="s">
        <v>33</v>
      </c>
      <c r="S908" s="7" t="s">
        <v>47</v>
      </c>
      <c r="T908" s="10">
        <v>4</v>
      </c>
      <c r="U908" s="7"/>
      <c r="V908" s="10">
        <v>0</v>
      </c>
      <c r="W908" s="7" t="s">
        <v>48</v>
      </c>
      <c r="X908" s="10" t="s">
        <v>36</v>
      </c>
      <c r="Y908" s="7" t="s">
        <v>37</v>
      </c>
    </row>
    <row x14ac:dyDescent="0.25" r="909" customHeight="1" ht="18.75">
      <c r="A909" s="11">
        <v>74021748</v>
      </c>
      <c r="B909" s="12">
        <v>2601</v>
      </c>
      <c r="C909" s="13" t="s">
        <v>4291</v>
      </c>
      <c r="D909" s="13" t="s">
        <v>4292</v>
      </c>
      <c r="E909" s="14">
        <v>74021748</v>
      </c>
      <c r="F909" s="14">
        <v>2601</v>
      </c>
      <c r="G909" s="13" t="s">
        <v>27</v>
      </c>
      <c r="H909" s="13" t="s">
        <v>4293</v>
      </c>
      <c r="I909" s="13" t="s">
        <v>4294</v>
      </c>
      <c r="J909" s="14">
        <f>79269007291</f>
      </c>
      <c r="K909" s="9"/>
      <c r="L909" s="13" t="s">
        <v>544</v>
      </c>
      <c r="M909" s="14">
        <v>74</v>
      </c>
      <c r="N909" s="13" t="s">
        <v>545</v>
      </c>
      <c r="O909" s="13" t="s">
        <v>32</v>
      </c>
      <c r="P909" s="13" t="s">
        <v>32</v>
      </c>
      <c r="Q909" s="14" t="s">
        <v>58</v>
      </c>
      <c r="R909" s="13" t="s">
        <v>33</v>
      </c>
      <c r="S909" s="13" t="s">
        <v>47</v>
      </c>
      <c r="T909" s="15">
        <v>3</v>
      </c>
      <c r="U909" s="13" t="s">
        <v>48</v>
      </c>
      <c r="V909" s="15" t="s">
        <v>49</v>
      </c>
      <c r="W909" s="13" t="s">
        <v>35</v>
      </c>
      <c r="X909" s="15" t="s">
        <v>65</v>
      </c>
      <c r="Y909" s="13" t="s">
        <v>37</v>
      </c>
    </row>
    <row x14ac:dyDescent="0.25" r="910" customHeight="1" ht="18.75">
      <c r="A910" s="5">
        <v>74021749</v>
      </c>
      <c r="B910" s="6">
        <v>2602</v>
      </c>
      <c r="C910" s="7" t="s">
        <v>4295</v>
      </c>
      <c r="D910" s="7" t="s">
        <v>4296</v>
      </c>
      <c r="E910" s="8">
        <v>74021749</v>
      </c>
      <c r="F910" s="8">
        <v>2602</v>
      </c>
      <c r="G910" s="7" t="s">
        <v>27</v>
      </c>
      <c r="H910" s="7" t="s">
        <v>4297</v>
      </c>
      <c r="I910" s="7" t="s">
        <v>4298</v>
      </c>
      <c r="J910" s="8">
        <f>79269008252</f>
      </c>
      <c r="K910" s="9"/>
      <c r="L910" s="7" t="s">
        <v>544</v>
      </c>
      <c r="M910" s="8">
        <v>74</v>
      </c>
      <c r="N910" s="7" t="s">
        <v>545</v>
      </c>
      <c r="O910" s="7" t="s">
        <v>32</v>
      </c>
      <c r="P910" s="7" t="s">
        <v>32</v>
      </c>
      <c r="Q910" s="8" t="s">
        <v>58</v>
      </c>
      <c r="R910" s="7" t="s">
        <v>33</v>
      </c>
      <c r="S910" s="7" t="s">
        <v>47</v>
      </c>
      <c r="T910" s="10">
        <v>3</v>
      </c>
      <c r="U910" s="7" t="s">
        <v>35</v>
      </c>
      <c r="V910" s="10" t="s">
        <v>214</v>
      </c>
      <c r="W910" s="7" t="s">
        <v>48</v>
      </c>
      <c r="X910" s="10" t="s">
        <v>712</v>
      </c>
      <c r="Y910" s="7" t="s">
        <v>59</v>
      </c>
    </row>
    <row x14ac:dyDescent="0.25" r="911" customHeight="1" ht="18.75">
      <c r="A911" s="11">
        <v>74021751</v>
      </c>
      <c r="B911" s="12">
        <v>2604</v>
      </c>
      <c r="C911" s="13" t="s">
        <v>4299</v>
      </c>
      <c r="D911" s="13" t="s">
        <v>4300</v>
      </c>
      <c r="E911" s="14">
        <v>74021751</v>
      </c>
      <c r="F911" s="14">
        <v>2604</v>
      </c>
      <c r="G911" s="13" t="s">
        <v>27</v>
      </c>
      <c r="H911" s="13" t="s">
        <v>4301</v>
      </c>
      <c r="I911" s="13" t="s">
        <v>4302</v>
      </c>
      <c r="J911" s="14">
        <f>79269003595</f>
      </c>
      <c r="K911" s="9"/>
      <c r="L911" s="13" t="s">
        <v>544</v>
      </c>
      <c r="M911" s="14">
        <v>74</v>
      </c>
      <c r="N911" s="13" t="s">
        <v>545</v>
      </c>
      <c r="O911" s="13" t="s">
        <v>82</v>
      </c>
      <c r="P911" s="13" t="s">
        <v>268</v>
      </c>
      <c r="Q911" s="14" t="s">
        <v>58</v>
      </c>
      <c r="R911" s="13" t="s">
        <v>33</v>
      </c>
      <c r="S911" s="13" t="s">
        <v>47</v>
      </c>
      <c r="T911" s="15">
        <v>3</v>
      </c>
      <c r="U911" s="13" t="s">
        <v>35</v>
      </c>
      <c r="V911" s="15" t="s">
        <v>200</v>
      </c>
      <c r="W911" s="13" t="s">
        <v>48</v>
      </c>
      <c r="X911" s="15" t="s">
        <v>472</v>
      </c>
      <c r="Y911" s="13" t="s">
        <v>37</v>
      </c>
    </row>
    <row x14ac:dyDescent="0.25" r="912" customHeight="1" ht="18.75">
      <c r="A912" s="5">
        <v>74021752</v>
      </c>
      <c r="B912" s="6">
        <v>2605</v>
      </c>
      <c r="C912" s="7" t="s">
        <v>4303</v>
      </c>
      <c r="D912" s="7" t="s">
        <v>4304</v>
      </c>
      <c r="E912" s="8">
        <v>74021752</v>
      </c>
      <c r="F912" s="8">
        <v>2605</v>
      </c>
      <c r="G912" s="7" t="s">
        <v>27</v>
      </c>
      <c r="H912" s="7" t="s">
        <v>4305</v>
      </c>
      <c r="I912" s="7" t="s">
        <v>4306</v>
      </c>
      <c r="J912" s="8">
        <f>79269004479</f>
      </c>
      <c r="K912" s="9"/>
      <c r="L912" s="7" t="s">
        <v>544</v>
      </c>
      <c r="M912" s="8">
        <v>74</v>
      </c>
      <c r="N912" s="7" t="s">
        <v>545</v>
      </c>
      <c r="O912" s="7" t="s">
        <v>32</v>
      </c>
      <c r="P912" s="7" t="s">
        <v>32</v>
      </c>
      <c r="Q912" s="8" t="s">
        <v>58</v>
      </c>
      <c r="R912" s="7" t="s">
        <v>33</v>
      </c>
      <c r="S912" s="7" t="s">
        <v>47</v>
      </c>
      <c r="T912" s="10">
        <v>3</v>
      </c>
      <c r="U912" s="7" t="s">
        <v>35</v>
      </c>
      <c r="V912" s="10" t="s">
        <v>64</v>
      </c>
      <c r="W912" s="7" t="s">
        <v>48</v>
      </c>
      <c r="X912" s="10" t="s">
        <v>895</v>
      </c>
      <c r="Y912" s="7" t="s">
        <v>59</v>
      </c>
    </row>
    <row x14ac:dyDescent="0.25" r="913" customHeight="1" ht="18.75">
      <c r="A913" s="11">
        <v>74021753</v>
      </c>
      <c r="B913" s="12">
        <v>2606</v>
      </c>
      <c r="C913" s="13" t="s">
        <v>4307</v>
      </c>
      <c r="D913" s="13" t="s">
        <v>4308</v>
      </c>
      <c r="E913" s="14">
        <v>74021753</v>
      </c>
      <c r="F913" s="14">
        <v>2606</v>
      </c>
      <c r="G913" s="13" t="s">
        <v>27</v>
      </c>
      <c r="H913" s="13" t="s">
        <v>4309</v>
      </c>
      <c r="I913" s="13" t="s">
        <v>4310</v>
      </c>
      <c r="J913" s="14">
        <f>79269006722</f>
      </c>
      <c r="K913" s="9"/>
      <c r="L913" s="13" t="s">
        <v>544</v>
      </c>
      <c r="M913" s="14">
        <v>74</v>
      </c>
      <c r="N913" s="13" t="s">
        <v>545</v>
      </c>
      <c r="O913" s="13" t="s">
        <v>82</v>
      </c>
      <c r="P913" s="13" t="s">
        <v>268</v>
      </c>
      <c r="Q913" s="14" t="s">
        <v>58</v>
      </c>
      <c r="R913" s="13" t="s">
        <v>33</v>
      </c>
      <c r="S913" s="13" t="s">
        <v>47</v>
      </c>
      <c r="T913" s="15">
        <v>3</v>
      </c>
      <c r="U913" s="13" t="s">
        <v>35</v>
      </c>
      <c r="V913" s="15" t="s">
        <v>214</v>
      </c>
      <c r="W913" s="13" t="s">
        <v>48</v>
      </c>
      <c r="X913" s="15" t="s">
        <v>712</v>
      </c>
      <c r="Y913" s="13" t="s">
        <v>59</v>
      </c>
    </row>
    <row x14ac:dyDescent="0.25" r="914" customHeight="1" ht="18.75">
      <c r="A914" s="5">
        <v>74021754</v>
      </c>
      <c r="B914" s="6">
        <v>2607</v>
      </c>
      <c r="C914" s="7" t="s">
        <v>4311</v>
      </c>
      <c r="D914" s="7" t="s">
        <v>4312</v>
      </c>
      <c r="E914" s="8">
        <v>74021754</v>
      </c>
      <c r="F914" s="8">
        <v>2607</v>
      </c>
      <c r="G914" s="7" t="s">
        <v>27</v>
      </c>
      <c r="H914" s="7" t="s">
        <v>4313</v>
      </c>
      <c r="I914" s="7" t="s">
        <v>4314</v>
      </c>
      <c r="J914" s="8">
        <f>79269010037</f>
      </c>
      <c r="K914" s="9"/>
      <c r="L914" s="7" t="s">
        <v>544</v>
      </c>
      <c r="M914" s="8">
        <v>74</v>
      </c>
      <c r="N914" s="7" t="s">
        <v>545</v>
      </c>
      <c r="O914" s="7" t="s">
        <v>32</v>
      </c>
      <c r="P914" s="7" t="s">
        <v>32</v>
      </c>
      <c r="Q914" s="8" t="s">
        <v>58</v>
      </c>
      <c r="R914" s="7" t="s">
        <v>33</v>
      </c>
      <c r="S914" s="7" t="s">
        <v>47</v>
      </c>
      <c r="T914" s="10">
        <v>4</v>
      </c>
      <c r="U914" s="7" t="s">
        <v>35</v>
      </c>
      <c r="V914" s="10" t="s">
        <v>64</v>
      </c>
      <c r="W914" s="7" t="s">
        <v>48</v>
      </c>
      <c r="X914" s="10" t="s">
        <v>712</v>
      </c>
      <c r="Y914" s="7" t="s">
        <v>59</v>
      </c>
    </row>
    <row x14ac:dyDescent="0.25" r="915" customHeight="1" ht="18.75">
      <c r="A915" s="11">
        <v>74021755</v>
      </c>
      <c r="B915" s="12">
        <v>2608</v>
      </c>
      <c r="C915" s="13" t="s">
        <v>4315</v>
      </c>
      <c r="D915" s="13" t="s">
        <v>4316</v>
      </c>
      <c r="E915" s="14">
        <v>74021755</v>
      </c>
      <c r="F915" s="14">
        <v>2608</v>
      </c>
      <c r="G915" s="13" t="s">
        <v>27</v>
      </c>
      <c r="H915" s="13" t="s">
        <v>4317</v>
      </c>
      <c r="I915" s="13" t="s">
        <v>4318</v>
      </c>
      <c r="J915" s="14">
        <f>79269002705</f>
      </c>
      <c r="K915" s="9"/>
      <c r="L915" s="13" t="s">
        <v>544</v>
      </c>
      <c r="M915" s="14">
        <v>74</v>
      </c>
      <c r="N915" s="13" t="s">
        <v>545</v>
      </c>
      <c r="O915" s="13" t="s">
        <v>82</v>
      </c>
      <c r="P915" s="13" t="s">
        <v>268</v>
      </c>
      <c r="Q915" s="14" t="s">
        <v>58</v>
      </c>
      <c r="R915" s="13" t="s">
        <v>33</v>
      </c>
      <c r="S915" s="13" t="s">
        <v>47</v>
      </c>
      <c r="T915" s="15">
        <v>3</v>
      </c>
      <c r="U915" s="13" t="s">
        <v>35</v>
      </c>
      <c r="V915" s="15" t="s">
        <v>214</v>
      </c>
      <c r="W915" s="13" t="s">
        <v>48</v>
      </c>
      <c r="X915" s="15" t="s">
        <v>712</v>
      </c>
      <c r="Y915" s="13" t="s">
        <v>59</v>
      </c>
    </row>
    <row x14ac:dyDescent="0.25" r="916" customHeight="1" ht="18.75">
      <c r="A916" s="5">
        <v>74021756</v>
      </c>
      <c r="B916" s="6">
        <v>2611</v>
      </c>
      <c r="C916" s="7" t="s">
        <v>4319</v>
      </c>
      <c r="D916" s="7" t="s">
        <v>4320</v>
      </c>
      <c r="E916" s="8">
        <v>74021756</v>
      </c>
      <c r="F916" s="8">
        <v>2611</v>
      </c>
      <c r="G916" s="7" t="s">
        <v>27</v>
      </c>
      <c r="H916" s="7" t="s">
        <v>4321</v>
      </c>
      <c r="I916" s="7" t="s">
        <v>4322</v>
      </c>
      <c r="J916" s="8">
        <f>79140701582</f>
      </c>
      <c r="K916" s="9"/>
      <c r="L916" s="7" t="s">
        <v>721</v>
      </c>
      <c r="M916" s="8">
        <v>115</v>
      </c>
      <c r="N916" s="7" t="s">
        <v>1376</v>
      </c>
      <c r="O916" s="7" t="s">
        <v>723</v>
      </c>
      <c r="P916" s="7" t="s">
        <v>724</v>
      </c>
      <c r="Q916" s="8" t="s">
        <v>4323</v>
      </c>
      <c r="R916" s="7" t="s">
        <v>33</v>
      </c>
      <c r="S916" s="7" t="s">
        <v>47</v>
      </c>
      <c r="T916" s="10">
        <v>4</v>
      </c>
      <c r="U916" s="7"/>
      <c r="V916" s="10">
        <v>0</v>
      </c>
      <c r="W916" s="7" t="s">
        <v>48</v>
      </c>
      <c r="X916" s="10" t="s">
        <v>712</v>
      </c>
      <c r="Y916" s="7" t="s">
        <v>126</v>
      </c>
    </row>
    <row x14ac:dyDescent="0.25" r="917" customHeight="1" ht="18.75">
      <c r="A917" s="11">
        <v>74021757</v>
      </c>
      <c r="B917" s="12">
        <v>2621</v>
      </c>
      <c r="C917" s="13" t="s">
        <v>4324</v>
      </c>
      <c r="D917" s="13" t="s">
        <v>4325</v>
      </c>
      <c r="E917" s="14">
        <v>74021757</v>
      </c>
      <c r="F917" s="14">
        <v>2621</v>
      </c>
      <c r="G917" s="13" t="s">
        <v>27</v>
      </c>
      <c r="H917" s="13" t="s">
        <v>4326</v>
      </c>
      <c r="I917" s="13" t="s">
        <v>4327</v>
      </c>
      <c r="J917" s="14">
        <f>78552920072</f>
      </c>
      <c r="K917" s="9"/>
      <c r="L917" s="13" t="s">
        <v>42</v>
      </c>
      <c r="M917" s="14">
        <v>89</v>
      </c>
      <c r="N917" s="13" t="s">
        <v>43</v>
      </c>
      <c r="O917" s="13" t="s">
        <v>44</v>
      </c>
      <c r="P917" s="13" t="s">
        <v>140</v>
      </c>
      <c r="Q917" s="14" t="s">
        <v>4328</v>
      </c>
      <c r="R917" s="13" t="s">
        <v>33</v>
      </c>
      <c r="S917" s="13" t="s">
        <v>47</v>
      </c>
      <c r="T917" s="15">
        <v>3</v>
      </c>
      <c r="U917" s="13"/>
      <c r="V917" s="15">
        <v>0</v>
      </c>
      <c r="W917" s="13" t="s">
        <v>48</v>
      </c>
      <c r="X917" s="15" t="s">
        <v>36</v>
      </c>
      <c r="Y917" s="13" t="s">
        <v>37</v>
      </c>
    </row>
    <row x14ac:dyDescent="0.25" r="918" customHeight="1" ht="18.75">
      <c r="A918" s="5">
        <v>74021758</v>
      </c>
      <c r="B918" s="6">
        <v>2631</v>
      </c>
      <c r="C918" s="7" t="s">
        <v>4329</v>
      </c>
      <c r="D918" s="7" t="s">
        <v>4330</v>
      </c>
      <c r="E918" s="8">
        <v>74021758</v>
      </c>
      <c r="F918" s="8">
        <v>2631</v>
      </c>
      <c r="G918" s="7" t="s">
        <v>27</v>
      </c>
      <c r="H918" s="7" t="s">
        <v>4331</v>
      </c>
      <c r="I918" s="7" t="s">
        <v>4332</v>
      </c>
      <c r="J918" s="8">
        <f>74951980931</f>
      </c>
      <c r="K918" s="9"/>
      <c r="L918" s="7" t="s">
        <v>80</v>
      </c>
      <c r="M918" s="8">
        <v>149</v>
      </c>
      <c r="N918" s="7" t="s">
        <v>1691</v>
      </c>
      <c r="O918" s="7" t="s">
        <v>32</v>
      </c>
      <c r="P918" s="7" t="s">
        <v>32</v>
      </c>
      <c r="Q918" s="8" t="s">
        <v>58</v>
      </c>
      <c r="R918" s="7" t="s">
        <v>33</v>
      </c>
      <c r="S918" s="7" t="s">
        <v>47</v>
      </c>
      <c r="T918" s="10">
        <v>3</v>
      </c>
      <c r="U918" s="7"/>
      <c r="V918" s="10">
        <v>0</v>
      </c>
      <c r="W918" s="7" t="s">
        <v>48</v>
      </c>
      <c r="X918" s="10" t="s">
        <v>472</v>
      </c>
      <c r="Y918" s="7" t="s">
        <v>37</v>
      </c>
    </row>
    <row x14ac:dyDescent="0.25" r="919" customHeight="1" ht="18.75">
      <c r="A919" s="11">
        <v>74321760</v>
      </c>
      <c r="B919" s="12">
        <v>2641</v>
      </c>
      <c r="C919" s="13" t="s">
        <v>4333</v>
      </c>
      <c r="D919" s="13" t="s">
        <v>4334</v>
      </c>
      <c r="E919" s="14">
        <v>74321760</v>
      </c>
      <c r="F919" s="14">
        <v>2641</v>
      </c>
      <c r="G919" s="13" t="s">
        <v>27</v>
      </c>
      <c r="H919" s="13" t="s">
        <v>4335</v>
      </c>
      <c r="I919" s="13" t="s">
        <v>4336</v>
      </c>
      <c r="J919" s="14">
        <f>74952408424</f>
      </c>
      <c r="K919" s="14">
        <v>6574</v>
      </c>
      <c r="L919" s="13" t="s">
        <v>1276</v>
      </c>
      <c r="M919" s="14">
        <v>105</v>
      </c>
      <c r="N919" s="13" t="s">
        <v>1277</v>
      </c>
      <c r="O919" s="13" t="s">
        <v>82</v>
      </c>
      <c r="P919" s="13" t="s">
        <v>3370</v>
      </c>
      <c r="Q919" s="14" t="s">
        <v>58</v>
      </c>
      <c r="R919" s="13" t="s">
        <v>33</v>
      </c>
      <c r="S919" s="13" t="s">
        <v>47</v>
      </c>
      <c r="T919" s="15">
        <v>2</v>
      </c>
      <c r="U919" s="13" t="s">
        <v>35</v>
      </c>
      <c r="V919" s="15" t="s">
        <v>64</v>
      </c>
      <c r="W919" s="13" t="s">
        <v>48</v>
      </c>
      <c r="X919" s="15" t="s">
        <v>36</v>
      </c>
      <c r="Y919" s="13" t="s">
        <v>59</v>
      </c>
    </row>
    <row x14ac:dyDescent="0.25" r="920" customHeight="1" ht="18.75">
      <c r="A920" s="5">
        <v>74021761</v>
      </c>
      <c r="B920" s="6">
        <v>2651</v>
      </c>
      <c r="C920" s="7" t="s">
        <v>4337</v>
      </c>
      <c r="D920" s="7" t="s">
        <v>4338</v>
      </c>
      <c r="E920" s="8">
        <v>74021761</v>
      </c>
      <c r="F920" s="8">
        <v>2651</v>
      </c>
      <c r="G920" s="7" t="s">
        <v>27</v>
      </c>
      <c r="H920" s="7" t="s">
        <v>4339</v>
      </c>
      <c r="I920" s="7" t="s">
        <v>4340</v>
      </c>
      <c r="J920" s="8">
        <f>79269026627</f>
      </c>
      <c r="K920" s="9"/>
      <c r="L920" s="7" t="s">
        <v>544</v>
      </c>
      <c r="M920" s="8">
        <v>74</v>
      </c>
      <c r="N920" s="7" t="s">
        <v>545</v>
      </c>
      <c r="O920" s="7" t="s">
        <v>232</v>
      </c>
      <c r="P920" s="7" t="s">
        <v>1287</v>
      </c>
      <c r="Q920" s="8" t="s">
        <v>58</v>
      </c>
      <c r="R920" s="7" t="s">
        <v>33</v>
      </c>
      <c r="S920" s="7" t="s">
        <v>47</v>
      </c>
      <c r="T920" s="10">
        <v>3</v>
      </c>
      <c r="U920" s="7"/>
      <c r="V920" s="10">
        <v>0</v>
      </c>
      <c r="W920" s="7" t="s">
        <v>48</v>
      </c>
      <c r="X920" s="10" t="s">
        <v>472</v>
      </c>
      <c r="Y920" s="7" t="s">
        <v>59</v>
      </c>
    </row>
    <row x14ac:dyDescent="0.25" r="921" customHeight="1" ht="18.75">
      <c r="A921" s="11">
        <v>74021762</v>
      </c>
      <c r="B921" s="12">
        <v>2652</v>
      </c>
      <c r="C921" s="13" t="s">
        <v>4341</v>
      </c>
      <c r="D921" s="13" t="s">
        <v>4342</v>
      </c>
      <c r="E921" s="14">
        <v>74021762</v>
      </c>
      <c r="F921" s="14">
        <v>2652</v>
      </c>
      <c r="G921" s="13" t="s">
        <v>27</v>
      </c>
      <c r="H921" s="13" t="s">
        <v>4343</v>
      </c>
      <c r="I921" s="13" t="s">
        <v>4344</v>
      </c>
      <c r="J921" s="14">
        <f>79269018369</f>
      </c>
      <c r="K921" s="9"/>
      <c r="L921" s="13" t="s">
        <v>544</v>
      </c>
      <c r="M921" s="14">
        <v>74</v>
      </c>
      <c r="N921" s="13" t="s">
        <v>545</v>
      </c>
      <c r="O921" s="13" t="s">
        <v>32</v>
      </c>
      <c r="P921" s="13" t="s">
        <v>32</v>
      </c>
      <c r="Q921" s="14" t="s">
        <v>58</v>
      </c>
      <c r="R921" s="13" t="s">
        <v>33</v>
      </c>
      <c r="S921" s="13" t="s">
        <v>47</v>
      </c>
      <c r="T921" s="15">
        <v>2</v>
      </c>
      <c r="U921" s="13"/>
      <c r="V921" s="15">
        <v>0</v>
      </c>
      <c r="W921" s="13" t="s">
        <v>48</v>
      </c>
      <c r="X921" s="15" t="s">
        <v>472</v>
      </c>
      <c r="Y921" s="13" t="s">
        <v>37</v>
      </c>
    </row>
    <row x14ac:dyDescent="0.25" r="922" customHeight="1" ht="18.75">
      <c r="A922" s="5">
        <v>74321770</v>
      </c>
      <c r="B922" s="6">
        <v>2682</v>
      </c>
      <c r="C922" s="7" t="s">
        <v>4345</v>
      </c>
      <c r="D922" s="7" t="s">
        <v>4346</v>
      </c>
      <c r="E922" s="8">
        <v>74321770</v>
      </c>
      <c r="F922" s="8">
        <v>2682</v>
      </c>
      <c r="G922" s="7" t="s">
        <v>27</v>
      </c>
      <c r="H922" s="7" t="s">
        <v>4347</v>
      </c>
      <c r="I922" s="7" t="s">
        <v>4348</v>
      </c>
      <c r="J922" s="9"/>
      <c r="K922" s="8"/>
      <c r="L922" s="7" t="s">
        <v>1276</v>
      </c>
      <c r="M922" s="8">
        <v>105</v>
      </c>
      <c r="N922" s="7" t="s">
        <v>1277</v>
      </c>
      <c r="O922" s="7" t="s">
        <v>96</v>
      </c>
      <c r="P922" s="7" t="s">
        <v>280</v>
      </c>
      <c r="Q922" s="8" t="s">
        <v>182</v>
      </c>
      <c r="R922" s="7" t="s">
        <v>33</v>
      </c>
      <c r="S922" s="7" t="s">
        <v>47</v>
      </c>
      <c r="T922" s="10">
        <v>3</v>
      </c>
      <c r="U922" s="7"/>
      <c r="V922" s="10">
        <v>0</v>
      </c>
      <c r="W922" s="7" t="s">
        <v>48</v>
      </c>
      <c r="X922" s="10" t="s">
        <v>65</v>
      </c>
      <c r="Y922" s="7" t="s">
        <v>126</v>
      </c>
    </row>
    <row x14ac:dyDescent="0.25" r="923" customHeight="1" ht="18.75">
      <c r="A923" s="11">
        <v>74021771</v>
      </c>
      <c r="B923" s="12">
        <v>2691</v>
      </c>
      <c r="C923" s="13" t="s">
        <v>4349</v>
      </c>
      <c r="D923" s="13" t="s">
        <v>4350</v>
      </c>
      <c r="E923" s="14">
        <v>74021771</v>
      </c>
      <c r="F923" s="14">
        <v>2691</v>
      </c>
      <c r="G923" s="13" t="s">
        <v>27</v>
      </c>
      <c r="H923" s="13" t="s">
        <v>4351</v>
      </c>
      <c r="I923" s="13" t="s">
        <v>4352</v>
      </c>
      <c r="J923" s="14">
        <f>79299387747</f>
      </c>
      <c r="K923" s="9"/>
      <c r="L923" s="13" t="s">
        <v>544</v>
      </c>
      <c r="M923" s="14">
        <v>74</v>
      </c>
      <c r="N923" s="13" t="s">
        <v>545</v>
      </c>
      <c r="O923" s="13" t="s">
        <v>32</v>
      </c>
      <c r="P923" s="13" t="s">
        <v>32</v>
      </c>
      <c r="Q923" s="14" t="s">
        <v>58</v>
      </c>
      <c r="R923" s="13" t="s">
        <v>33</v>
      </c>
      <c r="S923" s="13" t="s">
        <v>47</v>
      </c>
      <c r="T923" s="15">
        <v>3</v>
      </c>
      <c r="U923" s="13"/>
      <c r="V923" s="15">
        <v>0</v>
      </c>
      <c r="W923" s="13" t="s">
        <v>48</v>
      </c>
      <c r="X923" s="15" t="s">
        <v>472</v>
      </c>
      <c r="Y923" s="13" t="s">
        <v>126</v>
      </c>
    </row>
    <row x14ac:dyDescent="0.25" r="924" customHeight="1" ht="18.75">
      <c r="A924" s="5">
        <v>74021777</v>
      </c>
      <c r="B924" s="6">
        <v>2713</v>
      </c>
      <c r="C924" s="7" t="s">
        <v>4353</v>
      </c>
      <c r="D924" s="7" t="s">
        <v>4354</v>
      </c>
      <c r="E924" s="8">
        <v>74021777</v>
      </c>
      <c r="F924" s="8">
        <v>2713</v>
      </c>
      <c r="G924" s="7" t="s">
        <v>27</v>
      </c>
      <c r="H924" s="7" t="s">
        <v>4355</v>
      </c>
      <c r="I924" s="7" t="s">
        <v>4356</v>
      </c>
      <c r="J924" s="8">
        <f>79299318612</f>
      </c>
      <c r="K924" s="9"/>
      <c r="L924" s="7" t="s">
        <v>544</v>
      </c>
      <c r="M924" s="8">
        <v>74</v>
      </c>
      <c r="N924" s="7" t="s">
        <v>545</v>
      </c>
      <c r="O924" s="7" t="s">
        <v>32</v>
      </c>
      <c r="P924" s="7" t="s">
        <v>32</v>
      </c>
      <c r="Q924" s="8" t="s">
        <v>58</v>
      </c>
      <c r="R924" s="7" t="s">
        <v>33</v>
      </c>
      <c r="S924" s="7" t="s">
        <v>47</v>
      </c>
      <c r="T924" s="10">
        <v>4</v>
      </c>
      <c r="U924" s="7"/>
      <c r="V924" s="10">
        <v>0</v>
      </c>
      <c r="W924" s="7" t="s">
        <v>48</v>
      </c>
      <c r="X924" s="10" t="s">
        <v>472</v>
      </c>
      <c r="Y924" s="7" t="s">
        <v>37</v>
      </c>
    </row>
    <row x14ac:dyDescent="0.25" r="925" customHeight="1" ht="18.75">
      <c r="A925" s="11">
        <v>74021778</v>
      </c>
      <c r="B925" s="12">
        <v>2722</v>
      </c>
      <c r="C925" s="13" t="s">
        <v>4357</v>
      </c>
      <c r="D925" s="13" t="s">
        <v>4358</v>
      </c>
      <c r="E925" s="14">
        <v>74021778</v>
      </c>
      <c r="F925" s="14">
        <v>2722</v>
      </c>
      <c r="G925" s="13" t="s">
        <v>27</v>
      </c>
      <c r="H925" s="13" t="s">
        <v>4359</v>
      </c>
      <c r="I925" s="13" t="s">
        <v>4360</v>
      </c>
      <c r="J925" s="14">
        <f>79624015295</f>
      </c>
      <c r="K925" s="9"/>
      <c r="L925" s="13" t="s">
        <v>117</v>
      </c>
      <c r="M925" s="14">
        <v>210</v>
      </c>
      <c r="N925" s="13" t="s">
        <v>118</v>
      </c>
      <c r="O925" s="13" t="s">
        <v>119</v>
      </c>
      <c r="P925" s="13" t="s">
        <v>4361</v>
      </c>
      <c r="Q925" s="14" t="s">
        <v>4362</v>
      </c>
      <c r="R925" s="13" t="s">
        <v>33</v>
      </c>
      <c r="S925" s="13" t="s">
        <v>47</v>
      </c>
      <c r="T925" s="15">
        <v>3</v>
      </c>
      <c r="U925" s="13"/>
      <c r="V925" s="15">
        <v>0</v>
      </c>
      <c r="W925" s="13" t="s">
        <v>48</v>
      </c>
      <c r="X925" s="15" t="s">
        <v>472</v>
      </c>
      <c r="Y925" s="13" t="s">
        <v>126</v>
      </c>
    </row>
    <row x14ac:dyDescent="0.25" r="926" customHeight="1" ht="18.75">
      <c r="A926" s="5">
        <v>74021779</v>
      </c>
      <c r="B926" s="6">
        <v>2723</v>
      </c>
      <c r="C926" s="7" t="s">
        <v>4363</v>
      </c>
      <c r="D926" s="7" t="s">
        <v>4364</v>
      </c>
      <c r="E926" s="8">
        <v>74021779</v>
      </c>
      <c r="F926" s="8">
        <v>2723</v>
      </c>
      <c r="G926" s="7" t="s">
        <v>27</v>
      </c>
      <c r="H926" s="7" t="s">
        <v>4365</v>
      </c>
      <c r="I926" s="7" t="s">
        <v>4366</v>
      </c>
      <c r="J926" s="8">
        <f>78452659954</f>
      </c>
      <c r="K926" s="9"/>
      <c r="L926" s="7" t="s">
        <v>327</v>
      </c>
      <c r="M926" s="8">
        <v>100623</v>
      </c>
      <c r="N926" s="7" t="s">
        <v>328</v>
      </c>
      <c r="O926" s="7" t="s">
        <v>44</v>
      </c>
      <c r="P926" s="7" t="s">
        <v>329</v>
      </c>
      <c r="Q926" s="8" t="s">
        <v>4367</v>
      </c>
      <c r="R926" s="7" t="s">
        <v>33</v>
      </c>
      <c r="S926" s="7" t="s">
        <v>47</v>
      </c>
      <c r="T926" s="10">
        <v>3</v>
      </c>
      <c r="U926" s="7"/>
      <c r="V926" s="10">
        <v>0</v>
      </c>
      <c r="W926" s="7" t="s">
        <v>48</v>
      </c>
      <c r="X926" s="10" t="s">
        <v>36</v>
      </c>
      <c r="Y926" s="7" t="s">
        <v>126</v>
      </c>
    </row>
    <row x14ac:dyDescent="0.25" r="927" customHeight="1" ht="18.75">
      <c r="A927" s="11">
        <v>74021780</v>
      </c>
      <c r="B927" s="12">
        <v>2731</v>
      </c>
      <c r="C927" s="13" t="s">
        <v>4368</v>
      </c>
      <c r="D927" s="13" t="s">
        <v>4369</v>
      </c>
      <c r="E927" s="14">
        <v>74021780</v>
      </c>
      <c r="F927" s="14">
        <v>2731</v>
      </c>
      <c r="G927" s="13" t="s">
        <v>27</v>
      </c>
      <c r="H927" s="13" t="s">
        <v>4370</v>
      </c>
      <c r="I927" s="13" t="s">
        <v>4371</v>
      </c>
      <c r="J927" s="14">
        <f>79050381665</f>
      </c>
      <c r="K927" s="9"/>
      <c r="L927" s="13" t="s">
        <v>54</v>
      </c>
      <c r="M927" s="14">
        <v>188</v>
      </c>
      <c r="N927" s="13" t="s">
        <v>55</v>
      </c>
      <c r="O927" s="13" t="s">
        <v>44</v>
      </c>
      <c r="P927" s="13" t="s">
        <v>292</v>
      </c>
      <c r="Q927" s="14" t="s">
        <v>182</v>
      </c>
      <c r="R927" s="13" t="s">
        <v>33</v>
      </c>
      <c r="S927" s="13" t="s">
        <v>47</v>
      </c>
      <c r="T927" s="15">
        <v>3</v>
      </c>
      <c r="U927" s="13"/>
      <c r="V927" s="15">
        <v>0</v>
      </c>
      <c r="W927" s="13" t="s">
        <v>48</v>
      </c>
      <c r="X927" s="15" t="s">
        <v>65</v>
      </c>
      <c r="Y927" s="13" t="s">
        <v>59</v>
      </c>
    </row>
    <row x14ac:dyDescent="0.25" r="928" customHeight="1" ht="18.75">
      <c r="A928" s="5">
        <v>74321781</v>
      </c>
      <c r="B928" s="6">
        <v>2732</v>
      </c>
      <c r="C928" s="7" t="s">
        <v>4372</v>
      </c>
      <c r="D928" s="7" t="s">
        <v>4373</v>
      </c>
      <c r="E928" s="8">
        <v>74321781</v>
      </c>
      <c r="F928" s="8">
        <v>2732</v>
      </c>
      <c r="G928" s="7" t="s">
        <v>27</v>
      </c>
      <c r="H928" s="7" t="s">
        <v>4374</v>
      </c>
      <c r="I928" s="7" t="s">
        <v>4375</v>
      </c>
      <c r="J928" s="8">
        <f>74952408424</f>
      </c>
      <c r="K928" s="8">
        <v>6589</v>
      </c>
      <c r="L928" s="7" t="s">
        <v>1276</v>
      </c>
      <c r="M928" s="8">
        <v>105</v>
      </c>
      <c r="N928" s="7" t="s">
        <v>1277</v>
      </c>
      <c r="O928" s="7" t="s">
        <v>96</v>
      </c>
      <c r="P928" s="7" t="s">
        <v>2350</v>
      </c>
      <c r="Q928" s="8" t="s">
        <v>182</v>
      </c>
      <c r="R928" s="7" t="s">
        <v>33</v>
      </c>
      <c r="S928" s="7" t="s">
        <v>47</v>
      </c>
      <c r="T928" s="10">
        <v>3</v>
      </c>
      <c r="U928" s="7"/>
      <c r="V928" s="10">
        <v>0</v>
      </c>
      <c r="W928" s="7" t="s">
        <v>48</v>
      </c>
      <c r="X928" s="10" t="s">
        <v>65</v>
      </c>
      <c r="Y928" s="7" t="s">
        <v>37</v>
      </c>
    </row>
    <row x14ac:dyDescent="0.25" r="929" customHeight="1" ht="18.75">
      <c r="A929" s="11">
        <v>74321782</v>
      </c>
      <c r="B929" s="12">
        <v>2733</v>
      </c>
      <c r="C929" s="13" t="s">
        <v>4376</v>
      </c>
      <c r="D929" s="13" t="s">
        <v>4377</v>
      </c>
      <c r="E929" s="14">
        <v>74321782</v>
      </c>
      <c r="F929" s="14">
        <v>2733</v>
      </c>
      <c r="G929" s="13" t="s">
        <v>27</v>
      </c>
      <c r="H929" s="13" t="s">
        <v>4378</v>
      </c>
      <c r="I929" s="13" t="s">
        <v>4379</v>
      </c>
      <c r="J929" s="14">
        <f>74952408424</f>
      </c>
      <c r="K929" s="14">
        <v>6590</v>
      </c>
      <c r="L929" s="13" t="s">
        <v>1276</v>
      </c>
      <c r="M929" s="14">
        <v>105</v>
      </c>
      <c r="N929" s="13" t="s">
        <v>1277</v>
      </c>
      <c r="O929" s="13" t="s">
        <v>96</v>
      </c>
      <c r="P929" s="13" t="s">
        <v>4380</v>
      </c>
      <c r="Q929" s="14" t="s">
        <v>112</v>
      </c>
      <c r="R929" s="13" t="s">
        <v>33</v>
      </c>
      <c r="S929" s="13" t="s">
        <v>47</v>
      </c>
      <c r="T929" s="15">
        <v>3</v>
      </c>
      <c r="U929" s="13"/>
      <c r="V929" s="15">
        <v>0</v>
      </c>
      <c r="W929" s="13" t="s">
        <v>48</v>
      </c>
      <c r="X929" s="15" t="s">
        <v>65</v>
      </c>
      <c r="Y929" s="13" t="s">
        <v>37</v>
      </c>
    </row>
    <row x14ac:dyDescent="0.25" r="930" customHeight="1" ht="18.75">
      <c r="A930" s="5">
        <v>74021784</v>
      </c>
      <c r="B930" s="6">
        <v>2751</v>
      </c>
      <c r="C930" s="7" t="s">
        <v>4381</v>
      </c>
      <c r="D930" s="7" t="s">
        <v>4382</v>
      </c>
      <c r="E930" s="8">
        <v>74021784</v>
      </c>
      <c r="F930" s="8">
        <v>2751</v>
      </c>
      <c r="G930" s="7" t="s">
        <v>27</v>
      </c>
      <c r="H930" s="7" t="s">
        <v>4383</v>
      </c>
      <c r="I930" s="7" t="s">
        <v>4384</v>
      </c>
      <c r="J930" s="8">
        <f>78555322535</f>
      </c>
      <c r="K930" s="9"/>
      <c r="L930" s="7" t="s">
        <v>42</v>
      </c>
      <c r="M930" s="8">
        <v>89</v>
      </c>
      <c r="N930" s="7" t="s">
        <v>43</v>
      </c>
      <c r="O930" s="7" t="s">
        <v>44</v>
      </c>
      <c r="P930" s="7" t="s">
        <v>1453</v>
      </c>
      <c r="Q930" s="8" t="s">
        <v>4385</v>
      </c>
      <c r="R930" s="7" t="s">
        <v>33</v>
      </c>
      <c r="S930" s="7" t="s">
        <v>47</v>
      </c>
      <c r="T930" s="10">
        <v>3</v>
      </c>
      <c r="U930" s="7"/>
      <c r="V930" s="10">
        <v>0</v>
      </c>
      <c r="W930" s="7" t="s">
        <v>48</v>
      </c>
      <c r="X930" s="10" t="s">
        <v>36</v>
      </c>
      <c r="Y930" s="7" t="s">
        <v>37</v>
      </c>
    </row>
    <row x14ac:dyDescent="0.25" r="931" customHeight="1" ht="18.75">
      <c r="A931" s="11">
        <v>74321785</v>
      </c>
      <c r="B931" s="12">
        <v>2752</v>
      </c>
      <c r="C931" s="13" t="s">
        <v>4386</v>
      </c>
      <c r="D931" s="13" t="s">
        <v>4387</v>
      </c>
      <c r="E931" s="14">
        <v>74321785</v>
      </c>
      <c r="F931" s="14">
        <v>2752</v>
      </c>
      <c r="G931" s="13" t="s">
        <v>27</v>
      </c>
      <c r="H931" s="13" t="s">
        <v>4388</v>
      </c>
      <c r="I931" s="13" t="s">
        <v>4389</v>
      </c>
      <c r="J931" s="14">
        <f>74952408424</f>
      </c>
      <c r="K931" s="14">
        <v>6586</v>
      </c>
      <c r="L931" s="13" t="s">
        <v>1276</v>
      </c>
      <c r="M931" s="14">
        <v>105</v>
      </c>
      <c r="N931" s="13" t="s">
        <v>1277</v>
      </c>
      <c r="O931" s="13" t="s">
        <v>73</v>
      </c>
      <c r="P931" s="13" t="s">
        <v>2181</v>
      </c>
      <c r="Q931" s="14" t="s">
        <v>182</v>
      </c>
      <c r="R931" s="13" t="s">
        <v>33</v>
      </c>
      <c r="S931" s="13" t="s">
        <v>47</v>
      </c>
      <c r="T931" s="15">
        <v>3</v>
      </c>
      <c r="U931" s="13"/>
      <c r="V931" s="15">
        <v>0</v>
      </c>
      <c r="W931" s="13" t="s">
        <v>48</v>
      </c>
      <c r="X931" s="15" t="s">
        <v>36</v>
      </c>
      <c r="Y931" s="13" t="s">
        <v>37</v>
      </c>
    </row>
    <row x14ac:dyDescent="0.25" r="932" customHeight="1" ht="18.75">
      <c r="A932" s="5">
        <v>74321789</v>
      </c>
      <c r="B932" s="6">
        <v>2762</v>
      </c>
      <c r="C932" s="7" t="s">
        <v>4390</v>
      </c>
      <c r="D932" s="7" t="s">
        <v>4391</v>
      </c>
      <c r="E932" s="8">
        <v>74321789</v>
      </c>
      <c r="F932" s="8">
        <v>2762</v>
      </c>
      <c r="G932" s="7" t="s">
        <v>27</v>
      </c>
      <c r="H932" s="7" t="s">
        <v>4392</v>
      </c>
      <c r="I932" s="7" t="s">
        <v>4393</v>
      </c>
      <c r="J932" s="8">
        <f>74952408424</f>
      </c>
      <c r="K932" s="8">
        <v>6584</v>
      </c>
      <c r="L932" s="7" t="s">
        <v>1276</v>
      </c>
      <c r="M932" s="8">
        <v>105</v>
      </c>
      <c r="N932" s="7" t="s">
        <v>1277</v>
      </c>
      <c r="O932" s="7" t="s">
        <v>73</v>
      </c>
      <c r="P932" s="7" t="s">
        <v>1532</v>
      </c>
      <c r="Q932" s="8" t="s">
        <v>1533</v>
      </c>
      <c r="R932" s="7" t="s">
        <v>33</v>
      </c>
      <c r="S932" s="7" t="s">
        <v>47</v>
      </c>
      <c r="T932" s="10">
        <v>3</v>
      </c>
      <c r="U932" s="7"/>
      <c r="V932" s="10">
        <v>0</v>
      </c>
      <c r="W932" s="7" t="s">
        <v>48</v>
      </c>
      <c r="X932" s="10" t="s">
        <v>65</v>
      </c>
      <c r="Y932" s="7" t="s">
        <v>84</v>
      </c>
    </row>
    <row x14ac:dyDescent="0.25" r="933" customHeight="1" ht="18.75">
      <c r="A933" s="11">
        <v>74321787</v>
      </c>
      <c r="B933" s="12">
        <v>2763</v>
      </c>
      <c r="C933" s="13" t="s">
        <v>4394</v>
      </c>
      <c r="D933" s="13" t="s">
        <v>4395</v>
      </c>
      <c r="E933" s="14">
        <v>74321787</v>
      </c>
      <c r="F933" s="14">
        <v>2763</v>
      </c>
      <c r="G933" s="13" t="s">
        <v>27</v>
      </c>
      <c r="H933" s="13" t="s">
        <v>4396</v>
      </c>
      <c r="I933" s="13" t="s">
        <v>4397</v>
      </c>
      <c r="J933" s="14">
        <f>74952408424</f>
      </c>
      <c r="K933" s="14">
        <v>6585</v>
      </c>
      <c r="L933" s="13" t="s">
        <v>1276</v>
      </c>
      <c r="M933" s="14">
        <v>105</v>
      </c>
      <c r="N933" s="13" t="s">
        <v>1277</v>
      </c>
      <c r="O933" s="13" t="s">
        <v>73</v>
      </c>
      <c r="P933" s="13" t="s">
        <v>1532</v>
      </c>
      <c r="Q933" s="14" t="s">
        <v>1533</v>
      </c>
      <c r="R933" s="13" t="s">
        <v>33</v>
      </c>
      <c r="S933" s="13" t="s">
        <v>47</v>
      </c>
      <c r="T933" s="15">
        <v>4</v>
      </c>
      <c r="U933" s="13"/>
      <c r="V933" s="15">
        <v>0</v>
      </c>
      <c r="W933" s="13" t="s">
        <v>48</v>
      </c>
      <c r="X933" s="15" t="s">
        <v>65</v>
      </c>
      <c r="Y933" s="13" t="s">
        <v>84</v>
      </c>
    </row>
    <row x14ac:dyDescent="0.25" r="934" customHeight="1" ht="18.75">
      <c r="A934" s="5">
        <v>74321790</v>
      </c>
      <c r="B934" s="6">
        <v>2764</v>
      </c>
      <c r="C934" s="7" t="s">
        <v>4398</v>
      </c>
      <c r="D934" s="7" t="s">
        <v>4399</v>
      </c>
      <c r="E934" s="8">
        <v>74321790</v>
      </c>
      <c r="F934" s="8">
        <v>2764</v>
      </c>
      <c r="G934" s="7" t="s">
        <v>27</v>
      </c>
      <c r="H934" s="7" t="s">
        <v>4400</v>
      </c>
      <c r="I934" s="7" t="s">
        <v>4401</v>
      </c>
      <c r="J934" s="8">
        <f>74952408424</f>
      </c>
      <c r="K934" s="8">
        <v>6580</v>
      </c>
      <c r="L934" s="7" t="s">
        <v>1276</v>
      </c>
      <c r="M934" s="8">
        <v>105</v>
      </c>
      <c r="N934" s="7" t="s">
        <v>1277</v>
      </c>
      <c r="O934" s="7" t="s">
        <v>96</v>
      </c>
      <c r="P934" s="7" t="s">
        <v>181</v>
      </c>
      <c r="Q934" s="8" t="s">
        <v>182</v>
      </c>
      <c r="R934" s="7" t="s">
        <v>33</v>
      </c>
      <c r="S934" s="7" t="s">
        <v>47</v>
      </c>
      <c r="T934" s="10">
        <v>3</v>
      </c>
      <c r="U934" s="7"/>
      <c r="V934" s="10">
        <v>0</v>
      </c>
      <c r="W934" s="7" t="s">
        <v>48</v>
      </c>
      <c r="X934" s="10" t="s">
        <v>65</v>
      </c>
      <c r="Y934" s="7" t="s">
        <v>84</v>
      </c>
    </row>
    <row x14ac:dyDescent="0.25" r="935" customHeight="1" ht="18.75">
      <c r="A935" s="11">
        <v>74321791</v>
      </c>
      <c r="B935" s="12">
        <v>2765</v>
      </c>
      <c r="C935" s="13" t="s">
        <v>4402</v>
      </c>
      <c r="D935" s="13" t="s">
        <v>4403</v>
      </c>
      <c r="E935" s="14">
        <v>74321791</v>
      </c>
      <c r="F935" s="14">
        <v>2765</v>
      </c>
      <c r="G935" s="13" t="s">
        <v>27</v>
      </c>
      <c r="H935" s="13" t="s">
        <v>4404</v>
      </c>
      <c r="I935" s="13" t="s">
        <v>4405</v>
      </c>
      <c r="J935" s="14">
        <f>74952408424</f>
      </c>
      <c r="K935" s="14">
        <v>6581</v>
      </c>
      <c r="L935" s="13" t="s">
        <v>1276</v>
      </c>
      <c r="M935" s="14">
        <v>105</v>
      </c>
      <c r="N935" s="13" t="s">
        <v>1277</v>
      </c>
      <c r="O935" s="13" t="s">
        <v>96</v>
      </c>
      <c r="P935" s="13" t="s">
        <v>181</v>
      </c>
      <c r="Q935" s="14" t="s">
        <v>182</v>
      </c>
      <c r="R935" s="13" t="s">
        <v>33</v>
      </c>
      <c r="S935" s="13" t="s">
        <v>47</v>
      </c>
      <c r="T935" s="15">
        <v>3</v>
      </c>
      <c r="U935" s="13"/>
      <c r="V935" s="15">
        <v>0</v>
      </c>
      <c r="W935" s="13" t="s">
        <v>48</v>
      </c>
      <c r="X935" s="15" t="s">
        <v>65</v>
      </c>
      <c r="Y935" s="13" t="s">
        <v>126</v>
      </c>
    </row>
    <row x14ac:dyDescent="0.25" r="936" customHeight="1" ht="18.75">
      <c r="A936" s="5">
        <v>74321792</v>
      </c>
      <c r="B936" s="6">
        <v>2766</v>
      </c>
      <c r="C936" s="7" t="s">
        <v>4406</v>
      </c>
      <c r="D936" s="7" t="s">
        <v>4407</v>
      </c>
      <c r="E936" s="8">
        <v>74321792</v>
      </c>
      <c r="F936" s="8">
        <v>2766</v>
      </c>
      <c r="G936" s="7" t="s">
        <v>27</v>
      </c>
      <c r="H936" s="7" t="s">
        <v>4408</v>
      </c>
      <c r="I936" s="7" t="s">
        <v>4409</v>
      </c>
      <c r="J936" s="8">
        <f>74952408424</f>
      </c>
      <c r="K936" s="8">
        <v>6582</v>
      </c>
      <c r="L936" s="7" t="s">
        <v>1276</v>
      </c>
      <c r="M936" s="8">
        <v>105</v>
      </c>
      <c r="N936" s="7" t="s">
        <v>1277</v>
      </c>
      <c r="O936" s="7" t="s">
        <v>96</v>
      </c>
      <c r="P936" s="7" t="s">
        <v>181</v>
      </c>
      <c r="Q936" s="8" t="s">
        <v>182</v>
      </c>
      <c r="R936" s="7" t="s">
        <v>33</v>
      </c>
      <c r="S936" s="7" t="s">
        <v>47</v>
      </c>
      <c r="T936" s="10">
        <v>4</v>
      </c>
      <c r="U936" s="7"/>
      <c r="V936" s="10">
        <v>0</v>
      </c>
      <c r="W936" s="7" t="s">
        <v>48</v>
      </c>
      <c r="X936" s="10" t="s">
        <v>65</v>
      </c>
      <c r="Y936" s="7" t="s">
        <v>66</v>
      </c>
    </row>
    <row x14ac:dyDescent="0.25" r="937" customHeight="1" ht="18.75">
      <c r="A937" s="11">
        <v>74321793</v>
      </c>
      <c r="B937" s="12">
        <v>2771</v>
      </c>
      <c r="C937" s="13" t="s">
        <v>4410</v>
      </c>
      <c r="D937" s="13" t="s">
        <v>4411</v>
      </c>
      <c r="E937" s="14">
        <v>74321793</v>
      </c>
      <c r="F937" s="14">
        <v>2771</v>
      </c>
      <c r="G937" s="13" t="s">
        <v>27</v>
      </c>
      <c r="H937" s="13" t="s">
        <v>4412</v>
      </c>
      <c r="I937" s="13" t="s">
        <v>4413</v>
      </c>
      <c r="J937" s="14">
        <f>74952408424</f>
      </c>
      <c r="K937" s="14">
        <v>6576</v>
      </c>
      <c r="L937" s="13" t="s">
        <v>1276</v>
      </c>
      <c r="M937" s="14">
        <v>105</v>
      </c>
      <c r="N937" s="13" t="s">
        <v>1277</v>
      </c>
      <c r="O937" s="13" t="s">
        <v>82</v>
      </c>
      <c r="P937" s="13" t="s">
        <v>3210</v>
      </c>
      <c r="Q937" s="14" t="s">
        <v>58</v>
      </c>
      <c r="R937" s="13" t="s">
        <v>33</v>
      </c>
      <c r="S937" s="13" t="s">
        <v>47</v>
      </c>
      <c r="T937" s="15">
        <v>3</v>
      </c>
      <c r="U937" s="13"/>
      <c r="V937" s="15">
        <v>0</v>
      </c>
      <c r="W937" s="13" t="s">
        <v>48</v>
      </c>
      <c r="X937" s="15" t="s">
        <v>65</v>
      </c>
      <c r="Y937" s="13" t="s">
        <v>37</v>
      </c>
    </row>
    <row x14ac:dyDescent="0.25" r="938" customHeight="1" ht="18.75">
      <c r="A938" s="5">
        <v>74321794</v>
      </c>
      <c r="B938" s="6">
        <v>2772</v>
      </c>
      <c r="C938" s="7" t="s">
        <v>4414</v>
      </c>
      <c r="D938" s="7" t="s">
        <v>4415</v>
      </c>
      <c r="E938" s="8">
        <v>74321794</v>
      </c>
      <c r="F938" s="8">
        <v>2772</v>
      </c>
      <c r="G938" s="7" t="s">
        <v>27</v>
      </c>
      <c r="H938" s="7" t="s">
        <v>4416</v>
      </c>
      <c r="I938" s="7" t="s">
        <v>4417</v>
      </c>
      <c r="J938" s="9"/>
      <c r="K938" s="8"/>
      <c r="L938" s="7" t="s">
        <v>1276</v>
      </c>
      <c r="M938" s="8">
        <v>105</v>
      </c>
      <c r="N938" s="7" t="s">
        <v>1277</v>
      </c>
      <c r="O938" s="7" t="s">
        <v>82</v>
      </c>
      <c r="P938" s="7" t="s">
        <v>2294</v>
      </c>
      <c r="Q938" s="8" t="s">
        <v>58</v>
      </c>
      <c r="R938" s="7" t="s">
        <v>33</v>
      </c>
      <c r="S938" s="7" t="s">
        <v>47</v>
      </c>
      <c r="T938" s="10">
        <v>3</v>
      </c>
      <c r="U938" s="7"/>
      <c r="V938" s="10">
        <v>0</v>
      </c>
      <c r="W938" s="7" t="s">
        <v>48</v>
      </c>
      <c r="X938" s="10" t="s">
        <v>65</v>
      </c>
      <c r="Y938" s="7" t="s">
        <v>37</v>
      </c>
    </row>
    <row x14ac:dyDescent="0.25" r="939" customHeight="1" ht="18.75">
      <c r="A939" s="11">
        <v>74321795</v>
      </c>
      <c r="B939" s="12">
        <v>2773</v>
      </c>
      <c r="C939" s="13" t="s">
        <v>4418</v>
      </c>
      <c r="D939" s="13" t="s">
        <v>4419</v>
      </c>
      <c r="E939" s="14">
        <v>74321795</v>
      </c>
      <c r="F939" s="14">
        <v>2773</v>
      </c>
      <c r="G939" s="13" t="s">
        <v>27</v>
      </c>
      <c r="H939" s="13" t="s">
        <v>4420</v>
      </c>
      <c r="I939" s="13" t="s">
        <v>4421</v>
      </c>
      <c r="J939" s="14">
        <f>74952408424</f>
      </c>
      <c r="K939" s="14">
        <v>6578</v>
      </c>
      <c r="L939" s="13" t="s">
        <v>1276</v>
      </c>
      <c r="M939" s="14">
        <v>105</v>
      </c>
      <c r="N939" s="13" t="s">
        <v>1277</v>
      </c>
      <c r="O939" s="13" t="s">
        <v>82</v>
      </c>
      <c r="P939" s="13" t="s">
        <v>4422</v>
      </c>
      <c r="Q939" s="14" t="s">
        <v>58</v>
      </c>
      <c r="R939" s="13" t="s">
        <v>33</v>
      </c>
      <c r="S939" s="13" t="s">
        <v>47</v>
      </c>
      <c r="T939" s="15">
        <v>3</v>
      </c>
      <c r="U939" s="13"/>
      <c r="V939" s="15">
        <v>0</v>
      </c>
      <c r="W939" s="13" t="s">
        <v>48</v>
      </c>
      <c r="X939" s="15" t="s">
        <v>65</v>
      </c>
      <c r="Y939" s="13" t="s">
        <v>59</v>
      </c>
    </row>
    <row x14ac:dyDescent="0.25" r="940" customHeight="1" ht="18.75">
      <c r="A940" s="5">
        <v>74321796</v>
      </c>
      <c r="B940" s="6">
        <v>2774</v>
      </c>
      <c r="C940" s="7" t="s">
        <v>4423</v>
      </c>
      <c r="D940" s="7" t="s">
        <v>4424</v>
      </c>
      <c r="E940" s="8">
        <v>74321796</v>
      </c>
      <c r="F940" s="8">
        <v>2774</v>
      </c>
      <c r="G940" s="7" t="s">
        <v>27</v>
      </c>
      <c r="H940" s="7" t="s">
        <v>4425</v>
      </c>
      <c r="I940" s="7" t="s">
        <v>4426</v>
      </c>
      <c r="J940" s="8">
        <f>74952408424</f>
      </c>
      <c r="K940" s="8">
        <v>6579</v>
      </c>
      <c r="L940" s="7" t="s">
        <v>1276</v>
      </c>
      <c r="M940" s="8">
        <v>105</v>
      </c>
      <c r="N940" s="7" t="s">
        <v>1277</v>
      </c>
      <c r="O940" s="7" t="s">
        <v>32</v>
      </c>
      <c r="P940" s="7" t="s">
        <v>32</v>
      </c>
      <c r="Q940" s="8" t="s">
        <v>58</v>
      </c>
      <c r="R940" s="7" t="s">
        <v>33</v>
      </c>
      <c r="S940" s="7" t="s">
        <v>47</v>
      </c>
      <c r="T940" s="10">
        <v>3</v>
      </c>
      <c r="U940" s="7"/>
      <c r="V940" s="10">
        <v>0</v>
      </c>
      <c r="W940" s="7" t="s">
        <v>48</v>
      </c>
      <c r="X940" s="10" t="s">
        <v>36</v>
      </c>
      <c r="Y940" s="7" t="s">
        <v>37</v>
      </c>
    </row>
    <row x14ac:dyDescent="0.25" r="941" customHeight="1" ht="18.75">
      <c r="A941" s="11">
        <v>74021785</v>
      </c>
      <c r="B941" s="12">
        <v>2781</v>
      </c>
      <c r="C941" s="13" t="s">
        <v>4427</v>
      </c>
      <c r="D941" s="13" t="s">
        <v>4428</v>
      </c>
      <c r="E941" s="14">
        <v>74021785</v>
      </c>
      <c r="F941" s="14">
        <v>2781</v>
      </c>
      <c r="G941" s="13" t="s">
        <v>27</v>
      </c>
      <c r="H941" s="13" t="s">
        <v>4429</v>
      </c>
      <c r="I941" s="13" t="s">
        <v>4430</v>
      </c>
      <c r="J941" s="14">
        <f>73422061507</f>
      </c>
      <c r="K941" s="9"/>
      <c r="L941" s="13" t="s">
        <v>42</v>
      </c>
      <c r="M941" s="14">
        <v>172</v>
      </c>
      <c r="N941" s="13" t="s">
        <v>2128</v>
      </c>
      <c r="O941" s="13" t="s">
        <v>96</v>
      </c>
      <c r="P941" s="13" t="s">
        <v>978</v>
      </c>
      <c r="Q941" s="14" t="s">
        <v>4428</v>
      </c>
      <c r="R941" s="13" t="s">
        <v>33</v>
      </c>
      <c r="S941" s="13" t="s">
        <v>47</v>
      </c>
      <c r="T941" s="15">
        <v>3</v>
      </c>
      <c r="U941" s="13"/>
      <c r="V941" s="15">
        <v>0</v>
      </c>
      <c r="W941" s="13" t="s">
        <v>48</v>
      </c>
      <c r="X941" s="15" t="s">
        <v>36</v>
      </c>
      <c r="Y941" s="13" t="s">
        <v>37</v>
      </c>
    </row>
    <row x14ac:dyDescent="0.25" r="942" customHeight="1" ht="18.75">
      <c r="A942" s="5">
        <v>74021786</v>
      </c>
      <c r="B942" s="6">
        <v>2782</v>
      </c>
      <c r="C942" s="7" t="s">
        <v>4431</v>
      </c>
      <c r="D942" s="7" t="s">
        <v>4432</v>
      </c>
      <c r="E942" s="8">
        <v>74021786</v>
      </c>
      <c r="F942" s="8">
        <v>2782</v>
      </c>
      <c r="G942" s="7" t="s">
        <v>27</v>
      </c>
      <c r="H942" s="7" t="s">
        <v>4433</v>
      </c>
      <c r="I942" s="7" t="s">
        <v>4434</v>
      </c>
      <c r="J942" s="8">
        <f>79636299805</f>
      </c>
      <c r="K942" s="9"/>
      <c r="L942" s="7" t="s">
        <v>30</v>
      </c>
      <c r="M942" s="8">
        <v>56</v>
      </c>
      <c r="N942" s="7" t="s">
        <v>31</v>
      </c>
      <c r="O942" s="7" t="s">
        <v>32</v>
      </c>
      <c r="P942" s="7" t="s">
        <v>32</v>
      </c>
      <c r="Q942" s="8" t="s">
        <v>4432</v>
      </c>
      <c r="R942" s="7" t="s">
        <v>33</v>
      </c>
      <c r="S942" s="7" t="s">
        <v>47</v>
      </c>
      <c r="T942" s="10">
        <v>3</v>
      </c>
      <c r="U942" s="7"/>
      <c r="V942" s="10">
        <v>0</v>
      </c>
      <c r="W942" s="7" t="s">
        <v>48</v>
      </c>
      <c r="X942" s="10" t="s">
        <v>65</v>
      </c>
      <c r="Y942" s="7" t="s">
        <v>37</v>
      </c>
    </row>
    <row x14ac:dyDescent="0.25" r="943" customHeight="1" ht="18.75">
      <c r="A943" s="11">
        <v>74021787</v>
      </c>
      <c r="B943" s="12">
        <v>2783</v>
      </c>
      <c r="C943" s="13" t="s">
        <v>4435</v>
      </c>
      <c r="D943" s="13" t="s">
        <v>4436</v>
      </c>
      <c r="E943" s="14">
        <v>74021787</v>
      </c>
      <c r="F943" s="14">
        <v>2783</v>
      </c>
      <c r="G943" s="13" t="s">
        <v>27</v>
      </c>
      <c r="H943" s="13" t="s">
        <v>4437</v>
      </c>
      <c r="I943" s="13" t="s">
        <v>4438</v>
      </c>
      <c r="J943" s="14">
        <f>73472262444</f>
      </c>
      <c r="K943" s="14">
        <v>1030</v>
      </c>
      <c r="L943" s="13" t="s">
        <v>94</v>
      </c>
      <c r="M943" s="14">
        <v>100170</v>
      </c>
      <c r="N943" s="13" t="s">
        <v>4439</v>
      </c>
      <c r="O943" s="13" t="s">
        <v>96</v>
      </c>
      <c r="P943" s="13" t="s">
        <v>97</v>
      </c>
      <c r="Q943" s="14" t="s">
        <v>4440</v>
      </c>
      <c r="R943" s="13" t="s">
        <v>33</v>
      </c>
      <c r="S943" s="13" t="s">
        <v>47</v>
      </c>
      <c r="T943" s="15">
        <v>3</v>
      </c>
      <c r="U943" s="13"/>
      <c r="V943" s="15">
        <v>0</v>
      </c>
      <c r="W943" s="13" t="s">
        <v>48</v>
      </c>
      <c r="X943" s="15" t="s">
        <v>36</v>
      </c>
      <c r="Y943" s="13" t="s">
        <v>126</v>
      </c>
    </row>
    <row x14ac:dyDescent="0.25" r="944" customHeight="1" ht="18.75">
      <c r="A944" s="5">
        <v>74021788</v>
      </c>
      <c r="B944" s="6">
        <v>2784</v>
      </c>
      <c r="C944" s="7" t="s">
        <v>4441</v>
      </c>
      <c r="D944" s="7" t="s">
        <v>4442</v>
      </c>
      <c r="E944" s="8">
        <v>74021788</v>
      </c>
      <c r="F944" s="8">
        <v>2784</v>
      </c>
      <c r="G944" s="7" t="s">
        <v>27</v>
      </c>
      <c r="H944" s="7" t="s">
        <v>4443</v>
      </c>
      <c r="I944" s="7" t="s">
        <v>4444</v>
      </c>
      <c r="J944" s="8">
        <f>73472262444</f>
      </c>
      <c r="K944" s="8">
        <v>1031</v>
      </c>
      <c r="L944" s="7" t="s">
        <v>94</v>
      </c>
      <c r="M944" s="8">
        <v>100172</v>
      </c>
      <c r="N944" s="7" t="s">
        <v>4445</v>
      </c>
      <c r="O944" s="7" t="s">
        <v>96</v>
      </c>
      <c r="P944" s="7" t="s">
        <v>97</v>
      </c>
      <c r="Q944" s="8" t="s">
        <v>4446</v>
      </c>
      <c r="R944" s="7" t="s">
        <v>33</v>
      </c>
      <c r="S944" s="7" t="s">
        <v>47</v>
      </c>
      <c r="T944" s="10">
        <v>3</v>
      </c>
      <c r="U944" s="7"/>
      <c r="V944" s="10">
        <v>0</v>
      </c>
      <c r="W944" s="7" t="s">
        <v>48</v>
      </c>
      <c r="X944" s="10" t="s">
        <v>36</v>
      </c>
      <c r="Y944" s="7" t="s">
        <v>37</v>
      </c>
    </row>
    <row x14ac:dyDescent="0.25" r="945" customHeight="1" ht="18.75">
      <c r="A945" s="11">
        <v>74021789</v>
      </c>
      <c r="B945" s="12">
        <v>2785</v>
      </c>
      <c r="C945" s="13" t="s">
        <v>4447</v>
      </c>
      <c r="D945" s="13" t="s">
        <v>4448</v>
      </c>
      <c r="E945" s="14">
        <v>74021789</v>
      </c>
      <c r="F945" s="14">
        <v>2785</v>
      </c>
      <c r="G945" s="13" t="s">
        <v>27</v>
      </c>
      <c r="H945" s="13" t="s">
        <v>4449</v>
      </c>
      <c r="I945" s="13" t="s">
        <v>4450</v>
      </c>
      <c r="J945" s="14">
        <f>73472262444</f>
      </c>
      <c r="K945" s="14">
        <v>1032</v>
      </c>
      <c r="L945" s="13" t="s">
        <v>94</v>
      </c>
      <c r="M945" s="14">
        <v>100171</v>
      </c>
      <c r="N945" s="13" t="s">
        <v>4451</v>
      </c>
      <c r="O945" s="13" t="s">
        <v>96</v>
      </c>
      <c r="P945" s="13" t="s">
        <v>97</v>
      </c>
      <c r="Q945" s="14" t="s">
        <v>4452</v>
      </c>
      <c r="R945" s="13" t="s">
        <v>33</v>
      </c>
      <c r="S945" s="13" t="s">
        <v>47</v>
      </c>
      <c r="T945" s="15">
        <v>3</v>
      </c>
      <c r="U945" s="13"/>
      <c r="V945" s="15">
        <v>0</v>
      </c>
      <c r="W945" s="13" t="s">
        <v>48</v>
      </c>
      <c r="X945" s="15" t="s">
        <v>36</v>
      </c>
      <c r="Y945" s="13" t="s">
        <v>37</v>
      </c>
    </row>
    <row x14ac:dyDescent="0.25" r="946" customHeight="1" ht="18.75">
      <c r="A946" s="5">
        <v>74021790</v>
      </c>
      <c r="B946" s="6">
        <v>2802</v>
      </c>
      <c r="C946" s="7" t="s">
        <v>4453</v>
      </c>
      <c r="D946" s="7" t="s">
        <v>4454</v>
      </c>
      <c r="E946" s="8">
        <v>74021790</v>
      </c>
      <c r="F946" s="8">
        <v>2802</v>
      </c>
      <c r="G946" s="7" t="s">
        <v>27</v>
      </c>
      <c r="H946" s="7" t="s">
        <v>4455</v>
      </c>
      <c r="I946" s="7" t="s">
        <v>4456</v>
      </c>
      <c r="J946" s="8">
        <f>79299391288</f>
      </c>
      <c r="K946" s="9"/>
      <c r="L946" s="7" t="s">
        <v>544</v>
      </c>
      <c r="M946" s="8">
        <v>74</v>
      </c>
      <c r="N946" s="7" t="s">
        <v>545</v>
      </c>
      <c r="O946" s="7" t="s">
        <v>232</v>
      </c>
      <c r="P946" s="7" t="s">
        <v>4457</v>
      </c>
      <c r="Q946" s="8" t="s">
        <v>58</v>
      </c>
      <c r="R946" s="7" t="s">
        <v>33</v>
      </c>
      <c r="S946" s="7" t="s">
        <v>47</v>
      </c>
      <c r="T946" s="10">
        <v>4</v>
      </c>
      <c r="U946" s="7" t="s">
        <v>35</v>
      </c>
      <c r="V946" s="10" t="s">
        <v>36</v>
      </c>
      <c r="W946" s="7" t="s">
        <v>48</v>
      </c>
      <c r="X946" s="10" t="s">
        <v>895</v>
      </c>
      <c r="Y946" s="7" t="s">
        <v>37</v>
      </c>
    </row>
    <row x14ac:dyDescent="0.25" r="947" customHeight="1" ht="18.75">
      <c r="A947" s="11">
        <v>74021791</v>
      </c>
      <c r="B947" s="12">
        <v>2803</v>
      </c>
      <c r="C947" s="13" t="s">
        <v>4458</v>
      </c>
      <c r="D947" s="13" t="s">
        <v>4459</v>
      </c>
      <c r="E947" s="14">
        <v>74021791</v>
      </c>
      <c r="F947" s="14">
        <v>2803</v>
      </c>
      <c r="G947" s="13" t="s">
        <v>27</v>
      </c>
      <c r="H947" s="13" t="s">
        <v>4460</v>
      </c>
      <c r="I947" s="13" t="s">
        <v>4461</v>
      </c>
      <c r="J947" s="14">
        <f>79299390337</f>
      </c>
      <c r="K947" s="9"/>
      <c r="L947" s="13" t="s">
        <v>544</v>
      </c>
      <c r="M947" s="14">
        <v>74</v>
      </c>
      <c r="N947" s="13" t="s">
        <v>545</v>
      </c>
      <c r="O947" s="13" t="s">
        <v>232</v>
      </c>
      <c r="P947" s="13" t="s">
        <v>4457</v>
      </c>
      <c r="Q947" s="14" t="s">
        <v>58</v>
      </c>
      <c r="R947" s="13" t="s">
        <v>33</v>
      </c>
      <c r="S947" s="13" t="s">
        <v>47</v>
      </c>
      <c r="T947" s="15">
        <v>3</v>
      </c>
      <c r="U947" s="13" t="s">
        <v>48</v>
      </c>
      <c r="V947" s="15" t="s">
        <v>49</v>
      </c>
      <c r="W947" s="13" t="s">
        <v>35</v>
      </c>
      <c r="X947" s="15" t="s">
        <v>36</v>
      </c>
      <c r="Y947" s="13" t="s">
        <v>59</v>
      </c>
    </row>
    <row x14ac:dyDescent="0.25" r="948" customHeight="1" ht="18.75">
      <c r="A948" s="5">
        <v>74021793</v>
      </c>
      <c r="B948" s="6">
        <v>2805</v>
      </c>
      <c r="C948" s="7" t="s">
        <v>4462</v>
      </c>
      <c r="D948" s="7" t="s">
        <v>4463</v>
      </c>
      <c r="E948" s="8">
        <v>74021793</v>
      </c>
      <c r="F948" s="8">
        <v>2805</v>
      </c>
      <c r="G948" s="7" t="s">
        <v>27</v>
      </c>
      <c r="H948" s="7" t="s">
        <v>4464</v>
      </c>
      <c r="I948" s="7" t="s">
        <v>4465</v>
      </c>
      <c r="J948" s="8">
        <f>79299391505</f>
      </c>
      <c r="K948" s="9"/>
      <c r="L948" s="7" t="s">
        <v>544</v>
      </c>
      <c r="M948" s="8">
        <v>74</v>
      </c>
      <c r="N948" s="7" t="s">
        <v>545</v>
      </c>
      <c r="O948" s="7" t="s">
        <v>232</v>
      </c>
      <c r="P948" s="7" t="s">
        <v>4457</v>
      </c>
      <c r="Q948" s="8" t="s">
        <v>58</v>
      </c>
      <c r="R948" s="7" t="s">
        <v>33</v>
      </c>
      <c r="S948" s="7" t="s">
        <v>47</v>
      </c>
      <c r="T948" s="10">
        <v>3</v>
      </c>
      <c r="U948" s="7" t="s">
        <v>48</v>
      </c>
      <c r="V948" s="10" t="s">
        <v>64</v>
      </c>
      <c r="W948" s="7" t="s">
        <v>35</v>
      </c>
      <c r="X948" s="10" t="s">
        <v>895</v>
      </c>
      <c r="Y948" s="7" t="s">
        <v>59</v>
      </c>
    </row>
    <row x14ac:dyDescent="0.25" r="949" customHeight="1" ht="18.75">
      <c r="A949" s="11">
        <v>74021794</v>
      </c>
      <c r="B949" s="12">
        <v>2806</v>
      </c>
      <c r="C949" s="13" t="s">
        <v>4466</v>
      </c>
      <c r="D949" s="13" t="s">
        <v>4467</v>
      </c>
      <c r="E949" s="14">
        <v>74021794</v>
      </c>
      <c r="F949" s="14">
        <v>2806</v>
      </c>
      <c r="G949" s="13" t="s">
        <v>27</v>
      </c>
      <c r="H949" s="13" t="s">
        <v>4468</v>
      </c>
      <c r="I949" s="13" t="s">
        <v>4469</v>
      </c>
      <c r="J949" s="14">
        <f>79299390529</f>
      </c>
      <c r="K949" s="9"/>
      <c r="L949" s="13" t="s">
        <v>544</v>
      </c>
      <c r="M949" s="14">
        <v>74</v>
      </c>
      <c r="N949" s="13" t="s">
        <v>545</v>
      </c>
      <c r="O949" s="13" t="s">
        <v>232</v>
      </c>
      <c r="P949" s="13" t="s">
        <v>4457</v>
      </c>
      <c r="Q949" s="14" t="s">
        <v>58</v>
      </c>
      <c r="R949" s="13" t="s">
        <v>33</v>
      </c>
      <c r="S949" s="13" t="s">
        <v>34</v>
      </c>
      <c r="T949" s="15">
        <v>4</v>
      </c>
      <c r="U949" s="13"/>
      <c r="V949" s="15">
        <v>0</v>
      </c>
      <c r="W949" s="13" t="s">
        <v>48</v>
      </c>
      <c r="X949" s="15" t="s">
        <v>36</v>
      </c>
      <c r="Y949" s="13" t="s">
        <v>59</v>
      </c>
    </row>
    <row x14ac:dyDescent="0.25" r="950" customHeight="1" ht="18.75">
      <c r="A950" s="5">
        <v>74021795</v>
      </c>
      <c r="B950" s="6">
        <v>2807</v>
      </c>
      <c r="C950" s="7" t="s">
        <v>4470</v>
      </c>
      <c r="D950" s="7" t="s">
        <v>4471</v>
      </c>
      <c r="E950" s="8">
        <v>74021795</v>
      </c>
      <c r="F950" s="8">
        <v>2807</v>
      </c>
      <c r="G950" s="7" t="s">
        <v>27</v>
      </c>
      <c r="H950" s="7" t="s">
        <v>4472</v>
      </c>
      <c r="I950" s="7" t="s">
        <v>4473</v>
      </c>
      <c r="J950" s="8">
        <f>79299390196</f>
      </c>
      <c r="K950" s="9"/>
      <c r="L950" s="7" t="s">
        <v>544</v>
      </c>
      <c r="M950" s="8">
        <v>74</v>
      </c>
      <c r="N950" s="7" t="s">
        <v>545</v>
      </c>
      <c r="O950" s="7" t="s">
        <v>232</v>
      </c>
      <c r="P950" s="7" t="s">
        <v>4457</v>
      </c>
      <c r="Q950" s="8" t="s">
        <v>58</v>
      </c>
      <c r="R950" s="7" t="s">
        <v>33</v>
      </c>
      <c r="S950" s="7" t="s">
        <v>47</v>
      </c>
      <c r="T950" s="10">
        <v>3</v>
      </c>
      <c r="U950" s="7"/>
      <c r="V950" s="10">
        <v>0</v>
      </c>
      <c r="W950" s="7" t="s">
        <v>48</v>
      </c>
      <c r="X950" s="10" t="s">
        <v>65</v>
      </c>
      <c r="Y950" s="7" t="s">
        <v>37</v>
      </c>
    </row>
    <row x14ac:dyDescent="0.25" r="951" customHeight="1" ht="18.75">
      <c r="A951" s="11">
        <v>74321802</v>
      </c>
      <c r="B951" s="12">
        <v>2810</v>
      </c>
      <c r="C951" s="13" t="s">
        <v>4474</v>
      </c>
      <c r="D951" s="13" t="s">
        <v>4475</v>
      </c>
      <c r="E951" s="14">
        <v>74321802</v>
      </c>
      <c r="F951" s="14">
        <v>2810</v>
      </c>
      <c r="G951" s="13" t="s">
        <v>27</v>
      </c>
      <c r="H951" s="13" t="s">
        <v>4476</v>
      </c>
      <c r="I951" s="13" t="s">
        <v>4477</v>
      </c>
      <c r="J951" s="14">
        <f>74952408424</f>
      </c>
      <c r="K951" s="14">
        <v>6624</v>
      </c>
      <c r="L951" s="13" t="s">
        <v>1276</v>
      </c>
      <c r="M951" s="14">
        <v>105</v>
      </c>
      <c r="N951" s="13" t="s">
        <v>1277</v>
      </c>
      <c r="O951" s="13" t="s">
        <v>32</v>
      </c>
      <c r="P951" s="13" t="s">
        <v>32</v>
      </c>
      <c r="Q951" s="14" t="s">
        <v>58</v>
      </c>
      <c r="R951" s="13" t="s">
        <v>33</v>
      </c>
      <c r="S951" s="13" t="s">
        <v>47</v>
      </c>
      <c r="T951" s="15">
        <v>4</v>
      </c>
      <c r="U951" s="13" t="s">
        <v>48</v>
      </c>
      <c r="V951" s="15" t="s">
        <v>214</v>
      </c>
      <c r="W951" s="13" t="s">
        <v>35</v>
      </c>
      <c r="X951" s="15" t="s">
        <v>36</v>
      </c>
      <c r="Y951" s="13" t="s">
        <v>59</v>
      </c>
    </row>
    <row x14ac:dyDescent="0.25" r="952" customHeight="1" ht="18.75">
      <c r="A952" s="5">
        <v>74321803</v>
      </c>
      <c r="B952" s="6">
        <v>2811</v>
      </c>
      <c r="C952" s="7" t="s">
        <v>4478</v>
      </c>
      <c r="D952" s="7" t="s">
        <v>4479</v>
      </c>
      <c r="E952" s="8">
        <v>74321803</v>
      </c>
      <c r="F952" s="8">
        <v>2811</v>
      </c>
      <c r="G952" s="7" t="s">
        <v>27</v>
      </c>
      <c r="H952" s="7" t="s">
        <v>4480</v>
      </c>
      <c r="I952" s="7" t="s">
        <v>4481</v>
      </c>
      <c r="J952" s="8">
        <f>74952408424</f>
      </c>
      <c r="K952" s="8">
        <v>6622</v>
      </c>
      <c r="L952" s="7" t="s">
        <v>1276</v>
      </c>
      <c r="M952" s="8">
        <v>105</v>
      </c>
      <c r="N952" s="7" t="s">
        <v>1277</v>
      </c>
      <c r="O952" s="7" t="s">
        <v>32</v>
      </c>
      <c r="P952" s="7" t="s">
        <v>32</v>
      </c>
      <c r="Q952" s="8" t="s">
        <v>58</v>
      </c>
      <c r="R952" s="7" t="s">
        <v>33</v>
      </c>
      <c r="S952" s="7" t="s">
        <v>47</v>
      </c>
      <c r="T952" s="10">
        <v>4</v>
      </c>
      <c r="U952" s="7" t="s">
        <v>35</v>
      </c>
      <c r="V952" s="10" t="s">
        <v>214</v>
      </c>
      <c r="W952" s="7" t="s">
        <v>48</v>
      </c>
      <c r="X952" s="10" t="s">
        <v>36</v>
      </c>
      <c r="Y952" s="7" t="s">
        <v>59</v>
      </c>
    </row>
    <row x14ac:dyDescent="0.25" r="953" customHeight="1" ht="18.75">
      <c r="A953" s="11">
        <v>74321804</v>
      </c>
      <c r="B953" s="12">
        <v>2812</v>
      </c>
      <c r="C953" s="13" t="s">
        <v>4482</v>
      </c>
      <c r="D953" s="13" t="s">
        <v>4483</v>
      </c>
      <c r="E953" s="14">
        <v>74321804</v>
      </c>
      <c r="F953" s="14">
        <v>2812</v>
      </c>
      <c r="G953" s="13" t="s">
        <v>27</v>
      </c>
      <c r="H953" s="13" t="s">
        <v>4484</v>
      </c>
      <c r="I953" s="13" t="s">
        <v>4485</v>
      </c>
      <c r="J953" s="14">
        <f>74952408424</f>
      </c>
      <c r="K953" s="14">
        <v>6623</v>
      </c>
      <c r="L953" s="13" t="s">
        <v>1276</v>
      </c>
      <c r="M953" s="14">
        <v>105</v>
      </c>
      <c r="N953" s="13" t="s">
        <v>1277</v>
      </c>
      <c r="O953" s="13" t="s">
        <v>82</v>
      </c>
      <c r="P953" s="13" t="s">
        <v>268</v>
      </c>
      <c r="Q953" s="14" t="s">
        <v>58</v>
      </c>
      <c r="R953" s="13" t="s">
        <v>33</v>
      </c>
      <c r="S953" s="13" t="s">
        <v>47</v>
      </c>
      <c r="T953" s="15">
        <v>5</v>
      </c>
      <c r="U953" s="13" t="s">
        <v>35</v>
      </c>
      <c r="V953" s="15" t="s">
        <v>64</v>
      </c>
      <c r="W953" s="13" t="s">
        <v>48</v>
      </c>
      <c r="X953" s="15" t="s">
        <v>36</v>
      </c>
      <c r="Y953" s="13" t="s">
        <v>59</v>
      </c>
    </row>
    <row x14ac:dyDescent="0.25" r="954" customHeight="1" ht="18.75">
      <c r="A954" s="5">
        <v>74021801</v>
      </c>
      <c r="B954" s="6">
        <v>2831</v>
      </c>
      <c r="C954" s="7" t="s">
        <v>4486</v>
      </c>
      <c r="D954" s="7" t="s">
        <v>4487</v>
      </c>
      <c r="E954" s="8">
        <v>74021801</v>
      </c>
      <c r="F954" s="8">
        <v>2831</v>
      </c>
      <c r="G954" s="7" t="s">
        <v>27</v>
      </c>
      <c r="H954" s="7" t="s">
        <v>4488</v>
      </c>
      <c r="I954" s="7" t="s">
        <v>4489</v>
      </c>
      <c r="J954" s="8">
        <f>79299160432</f>
      </c>
      <c r="K954" s="9"/>
      <c r="L954" s="7" t="s">
        <v>544</v>
      </c>
      <c r="M954" s="8">
        <v>74</v>
      </c>
      <c r="N954" s="7" t="s">
        <v>545</v>
      </c>
      <c r="O954" s="7" t="s">
        <v>32</v>
      </c>
      <c r="P954" s="7" t="s">
        <v>32</v>
      </c>
      <c r="Q954" s="8" t="s">
        <v>58</v>
      </c>
      <c r="R954" s="7" t="s">
        <v>33</v>
      </c>
      <c r="S954" s="7" t="s">
        <v>47</v>
      </c>
      <c r="T954" s="10">
        <v>3</v>
      </c>
      <c r="U954" s="7"/>
      <c r="V954" s="10">
        <v>0</v>
      </c>
      <c r="W954" s="7" t="s">
        <v>48</v>
      </c>
      <c r="X954" s="10" t="s">
        <v>712</v>
      </c>
      <c r="Y954" s="7" t="s">
        <v>37</v>
      </c>
    </row>
    <row x14ac:dyDescent="0.25" r="955" customHeight="1" ht="18.75">
      <c r="A955" s="11">
        <v>74021802</v>
      </c>
      <c r="B955" s="12">
        <v>2832</v>
      </c>
      <c r="C955" s="13" t="s">
        <v>4490</v>
      </c>
      <c r="D955" s="13" t="s">
        <v>4491</v>
      </c>
      <c r="E955" s="14">
        <v>74021802</v>
      </c>
      <c r="F955" s="14">
        <v>2832</v>
      </c>
      <c r="G955" s="13" t="s">
        <v>27</v>
      </c>
      <c r="H955" s="13" t="s">
        <v>4492</v>
      </c>
      <c r="I955" s="13" t="s">
        <v>4493</v>
      </c>
      <c r="J955" s="14">
        <f>79299160165</f>
      </c>
      <c r="K955" s="9"/>
      <c r="L955" s="13" t="s">
        <v>544</v>
      </c>
      <c r="M955" s="14">
        <v>74</v>
      </c>
      <c r="N955" s="13" t="s">
        <v>545</v>
      </c>
      <c r="O955" s="13" t="s">
        <v>232</v>
      </c>
      <c r="P955" s="13" t="s">
        <v>1371</v>
      </c>
      <c r="Q955" s="14" t="s">
        <v>4491</v>
      </c>
      <c r="R955" s="13" t="s">
        <v>33</v>
      </c>
      <c r="S955" s="13" t="s">
        <v>47</v>
      </c>
      <c r="T955" s="15">
        <v>3</v>
      </c>
      <c r="U955" s="13"/>
      <c r="V955" s="15">
        <v>0</v>
      </c>
      <c r="W955" s="13" t="s">
        <v>48</v>
      </c>
      <c r="X955" s="15" t="s">
        <v>712</v>
      </c>
      <c r="Y955" s="13" t="s">
        <v>37</v>
      </c>
    </row>
    <row x14ac:dyDescent="0.25" r="956" customHeight="1" ht="18.75">
      <c r="A956" s="5">
        <v>74021803</v>
      </c>
      <c r="B956" s="6">
        <v>2833</v>
      </c>
      <c r="C956" s="7" t="s">
        <v>4494</v>
      </c>
      <c r="D956" s="7" t="s">
        <v>4495</v>
      </c>
      <c r="E956" s="8">
        <v>74021803</v>
      </c>
      <c r="F956" s="8">
        <v>2833</v>
      </c>
      <c r="G956" s="7" t="s">
        <v>27</v>
      </c>
      <c r="H956" s="7" t="s">
        <v>4496</v>
      </c>
      <c r="I956" s="7" t="s">
        <v>4497</v>
      </c>
      <c r="J956" s="8">
        <f>79299394525</f>
      </c>
      <c r="K956" s="9"/>
      <c r="L956" s="7" t="s">
        <v>544</v>
      </c>
      <c r="M956" s="8">
        <v>74</v>
      </c>
      <c r="N956" s="7" t="s">
        <v>545</v>
      </c>
      <c r="O956" s="7" t="s">
        <v>232</v>
      </c>
      <c r="P956" s="7" t="s">
        <v>4498</v>
      </c>
      <c r="Q956" s="8" t="s">
        <v>58</v>
      </c>
      <c r="R956" s="7" t="s">
        <v>33</v>
      </c>
      <c r="S956" s="7" t="s">
        <v>47</v>
      </c>
      <c r="T956" s="10">
        <v>2</v>
      </c>
      <c r="U956" s="7"/>
      <c r="V956" s="10">
        <v>0</v>
      </c>
      <c r="W956" s="7" t="s">
        <v>48</v>
      </c>
      <c r="X956" s="10" t="s">
        <v>36</v>
      </c>
      <c r="Y956" s="7" t="s">
        <v>37</v>
      </c>
    </row>
    <row x14ac:dyDescent="0.25" r="957" customHeight="1" ht="18.75">
      <c r="A957" s="11">
        <v>74021804</v>
      </c>
      <c r="B957" s="12">
        <v>2834</v>
      </c>
      <c r="C957" s="13" t="s">
        <v>4499</v>
      </c>
      <c r="D957" s="13" t="s">
        <v>4500</v>
      </c>
      <c r="E957" s="14">
        <v>74021804</v>
      </c>
      <c r="F957" s="14">
        <v>2834</v>
      </c>
      <c r="G957" s="13" t="s">
        <v>27</v>
      </c>
      <c r="H957" s="13" t="s">
        <v>4501</v>
      </c>
      <c r="I957" s="13" t="s">
        <v>4502</v>
      </c>
      <c r="J957" s="14">
        <f>79299394703</f>
      </c>
      <c r="K957" s="9"/>
      <c r="L957" s="13" t="s">
        <v>544</v>
      </c>
      <c r="M957" s="14">
        <v>74</v>
      </c>
      <c r="N957" s="13" t="s">
        <v>545</v>
      </c>
      <c r="O957" s="13" t="s">
        <v>232</v>
      </c>
      <c r="P957" s="13" t="s">
        <v>4498</v>
      </c>
      <c r="Q957" s="14" t="s">
        <v>58</v>
      </c>
      <c r="R957" s="13" t="s">
        <v>33</v>
      </c>
      <c r="S957" s="13" t="s">
        <v>47</v>
      </c>
      <c r="T957" s="15">
        <v>2</v>
      </c>
      <c r="U957" s="13"/>
      <c r="V957" s="15">
        <v>0</v>
      </c>
      <c r="W957" s="13" t="s">
        <v>48</v>
      </c>
      <c r="X957" s="15" t="s">
        <v>36</v>
      </c>
      <c r="Y957" s="13" t="s">
        <v>37</v>
      </c>
    </row>
    <row x14ac:dyDescent="0.25" r="958" customHeight="1" ht="18.75">
      <c r="A958" s="5">
        <v>74021805</v>
      </c>
      <c r="B958" s="6">
        <v>2835</v>
      </c>
      <c r="C958" s="7" t="s">
        <v>4503</v>
      </c>
      <c r="D958" s="7" t="s">
        <v>4504</v>
      </c>
      <c r="E958" s="8">
        <v>74021805</v>
      </c>
      <c r="F958" s="8">
        <v>2835</v>
      </c>
      <c r="G958" s="7" t="s">
        <v>27</v>
      </c>
      <c r="H958" s="7" t="s">
        <v>4505</v>
      </c>
      <c r="I958" s="7" t="s">
        <v>4506</v>
      </c>
      <c r="J958" s="8">
        <f>79299395321</f>
      </c>
      <c r="K958" s="9"/>
      <c r="L958" s="7" t="s">
        <v>544</v>
      </c>
      <c r="M958" s="8">
        <v>74</v>
      </c>
      <c r="N958" s="7" t="s">
        <v>545</v>
      </c>
      <c r="O958" s="7" t="s">
        <v>232</v>
      </c>
      <c r="P958" s="7" t="s">
        <v>4498</v>
      </c>
      <c r="Q958" s="8" t="s">
        <v>58</v>
      </c>
      <c r="R958" s="7" t="s">
        <v>33</v>
      </c>
      <c r="S958" s="7" t="s">
        <v>47</v>
      </c>
      <c r="T958" s="10">
        <v>2</v>
      </c>
      <c r="U958" s="7"/>
      <c r="V958" s="10">
        <v>0</v>
      </c>
      <c r="W958" s="7" t="s">
        <v>48</v>
      </c>
      <c r="X958" s="10" t="s">
        <v>36</v>
      </c>
      <c r="Y958" s="7" t="s">
        <v>59</v>
      </c>
    </row>
    <row x14ac:dyDescent="0.25" r="959" customHeight="1" ht="18.75">
      <c r="A959" s="11">
        <v>74021806</v>
      </c>
      <c r="B959" s="12">
        <v>2836</v>
      </c>
      <c r="C959" s="13" t="s">
        <v>4507</v>
      </c>
      <c r="D959" s="13" t="s">
        <v>4508</v>
      </c>
      <c r="E959" s="14">
        <v>74021806</v>
      </c>
      <c r="F959" s="14">
        <v>2836</v>
      </c>
      <c r="G959" s="13" t="s">
        <v>27</v>
      </c>
      <c r="H959" s="13" t="s">
        <v>4509</v>
      </c>
      <c r="I959" s="13" t="s">
        <v>4510</v>
      </c>
      <c r="J959" s="14">
        <f>79299414416</f>
      </c>
      <c r="K959" s="9"/>
      <c r="L959" s="13" t="s">
        <v>544</v>
      </c>
      <c r="M959" s="14">
        <v>74</v>
      </c>
      <c r="N959" s="13" t="s">
        <v>545</v>
      </c>
      <c r="O959" s="13" t="s">
        <v>232</v>
      </c>
      <c r="P959" s="13" t="s">
        <v>4498</v>
      </c>
      <c r="Q959" s="14" t="s">
        <v>58</v>
      </c>
      <c r="R959" s="13" t="s">
        <v>33</v>
      </c>
      <c r="S959" s="13" t="s">
        <v>47</v>
      </c>
      <c r="T959" s="15">
        <v>2</v>
      </c>
      <c r="U959" s="13"/>
      <c r="V959" s="15">
        <v>0</v>
      </c>
      <c r="W959" s="13" t="s">
        <v>48</v>
      </c>
      <c r="X959" s="15" t="s">
        <v>36</v>
      </c>
      <c r="Y959" s="13" t="s">
        <v>37</v>
      </c>
    </row>
    <row x14ac:dyDescent="0.25" r="960" customHeight="1" ht="18.75">
      <c r="A960" s="5">
        <v>74021807</v>
      </c>
      <c r="B960" s="6">
        <v>2837</v>
      </c>
      <c r="C960" s="7" t="s">
        <v>4511</v>
      </c>
      <c r="D960" s="7" t="s">
        <v>4512</v>
      </c>
      <c r="E960" s="8">
        <v>74021807</v>
      </c>
      <c r="F960" s="8">
        <v>2837</v>
      </c>
      <c r="G960" s="7" t="s">
        <v>27</v>
      </c>
      <c r="H960" s="7" t="s">
        <v>4513</v>
      </c>
      <c r="I960" s="7" t="s">
        <v>4514</v>
      </c>
      <c r="J960" s="8">
        <f>79299393478</f>
      </c>
      <c r="K960" s="9"/>
      <c r="L960" s="7" t="s">
        <v>544</v>
      </c>
      <c r="M960" s="8">
        <v>74</v>
      </c>
      <c r="N960" s="7" t="s">
        <v>545</v>
      </c>
      <c r="O960" s="7" t="s">
        <v>232</v>
      </c>
      <c r="P960" s="7" t="s">
        <v>4515</v>
      </c>
      <c r="Q960" s="8" t="s">
        <v>58</v>
      </c>
      <c r="R960" s="7" t="s">
        <v>33</v>
      </c>
      <c r="S960" s="7" t="s">
        <v>47</v>
      </c>
      <c r="T960" s="10">
        <v>2</v>
      </c>
      <c r="U960" s="7"/>
      <c r="V960" s="10">
        <v>0</v>
      </c>
      <c r="W960" s="7" t="s">
        <v>48</v>
      </c>
      <c r="X960" s="10" t="s">
        <v>65</v>
      </c>
      <c r="Y960" s="7" t="s">
        <v>37</v>
      </c>
    </row>
    <row x14ac:dyDescent="0.25" r="961" customHeight="1" ht="18.75">
      <c r="A961" s="11">
        <v>74021809</v>
      </c>
      <c r="B961" s="12">
        <v>2851</v>
      </c>
      <c r="C961" s="13" t="s">
        <v>4516</v>
      </c>
      <c r="D961" s="13" t="s">
        <v>4517</v>
      </c>
      <c r="E961" s="14">
        <v>74021809</v>
      </c>
      <c r="F961" s="14">
        <v>2851</v>
      </c>
      <c r="G961" s="13" t="s">
        <v>27</v>
      </c>
      <c r="H961" s="13" t="s">
        <v>4518</v>
      </c>
      <c r="I961" s="13" t="s">
        <v>4519</v>
      </c>
      <c r="J961" s="14">
        <f>74112253925</f>
      </c>
      <c r="K961" s="9"/>
      <c r="L961" s="13" t="s">
        <v>508</v>
      </c>
      <c r="M961" s="14">
        <v>159</v>
      </c>
      <c r="N961" s="13" t="s">
        <v>1851</v>
      </c>
      <c r="O961" s="13" t="s">
        <v>723</v>
      </c>
      <c r="P961" s="13" t="s">
        <v>1852</v>
      </c>
      <c r="Q961" s="14" t="s">
        <v>1853</v>
      </c>
      <c r="R961" s="13" t="s">
        <v>33</v>
      </c>
      <c r="S961" s="13" t="s">
        <v>47</v>
      </c>
      <c r="T961" s="15">
        <v>3</v>
      </c>
      <c r="U961" s="13"/>
      <c r="V961" s="15">
        <v>0</v>
      </c>
      <c r="W961" s="13" t="s">
        <v>48</v>
      </c>
      <c r="X961" s="15" t="s">
        <v>36</v>
      </c>
      <c r="Y961" s="13" t="s">
        <v>37</v>
      </c>
    </row>
    <row x14ac:dyDescent="0.25" r="962" customHeight="1" ht="18.75">
      <c r="A962" s="5">
        <v>74021810</v>
      </c>
      <c r="B962" s="6">
        <v>2861</v>
      </c>
      <c r="C962" s="7" t="s">
        <v>4520</v>
      </c>
      <c r="D962" s="7" t="s">
        <v>4521</v>
      </c>
      <c r="E962" s="8">
        <v>74021810</v>
      </c>
      <c r="F962" s="8">
        <v>2861</v>
      </c>
      <c r="G962" s="7" t="s">
        <v>27</v>
      </c>
      <c r="H962" s="7" t="s">
        <v>4522</v>
      </c>
      <c r="I962" s="7" t="s">
        <v>4523</v>
      </c>
      <c r="J962" s="8">
        <f>73012569625</f>
      </c>
      <c r="K962" s="8">
        <v>3303</v>
      </c>
      <c r="L962" s="7" t="s">
        <v>508</v>
      </c>
      <c r="M962" s="8">
        <v>100000</v>
      </c>
      <c r="N962" s="7" t="s">
        <v>1755</v>
      </c>
      <c r="O962" s="7" t="s">
        <v>73</v>
      </c>
      <c r="P962" s="7" t="s">
        <v>3992</v>
      </c>
      <c r="Q962" s="8" t="s">
        <v>1742</v>
      </c>
      <c r="R962" s="7" t="s">
        <v>33</v>
      </c>
      <c r="S962" s="7" t="s">
        <v>47</v>
      </c>
      <c r="T962" s="10">
        <v>3</v>
      </c>
      <c r="U962" s="7"/>
      <c r="V962" s="10">
        <v>0</v>
      </c>
      <c r="W962" s="7" t="s">
        <v>48</v>
      </c>
      <c r="X962" s="10" t="s">
        <v>65</v>
      </c>
      <c r="Y962" s="7" t="s">
        <v>59</v>
      </c>
    </row>
    <row x14ac:dyDescent="0.25" r="963" customHeight="1" ht="18.75">
      <c r="A963" s="11">
        <v>74321805</v>
      </c>
      <c r="B963" s="12">
        <v>2862</v>
      </c>
      <c r="C963" s="13" t="s">
        <v>4524</v>
      </c>
      <c r="D963" s="13" t="s">
        <v>4525</v>
      </c>
      <c r="E963" s="14">
        <v>74321805</v>
      </c>
      <c r="F963" s="14">
        <v>2862</v>
      </c>
      <c r="G963" s="13" t="s">
        <v>27</v>
      </c>
      <c r="H963" s="13" t="s">
        <v>4526</v>
      </c>
      <c r="I963" s="13" t="s">
        <v>4527</v>
      </c>
      <c r="J963" s="14">
        <f>74952408424</f>
      </c>
      <c r="K963" s="14">
        <v>6594</v>
      </c>
      <c r="L963" s="13" t="s">
        <v>1276</v>
      </c>
      <c r="M963" s="14">
        <v>105</v>
      </c>
      <c r="N963" s="13" t="s">
        <v>1277</v>
      </c>
      <c r="O963" s="13" t="s">
        <v>96</v>
      </c>
      <c r="P963" s="13" t="s">
        <v>1799</v>
      </c>
      <c r="Q963" s="14" t="s">
        <v>4528</v>
      </c>
      <c r="R963" s="13" t="s">
        <v>33</v>
      </c>
      <c r="S963" s="13" t="s">
        <v>47</v>
      </c>
      <c r="T963" s="15">
        <v>3</v>
      </c>
      <c r="U963" s="13"/>
      <c r="V963" s="15">
        <v>0</v>
      </c>
      <c r="W963" s="13" t="s">
        <v>48</v>
      </c>
      <c r="X963" s="15" t="s">
        <v>36</v>
      </c>
      <c r="Y963" s="13" t="s">
        <v>37</v>
      </c>
    </row>
    <row x14ac:dyDescent="0.25" r="964" customHeight="1" ht="18.75">
      <c r="A964" s="5">
        <v>74021811</v>
      </c>
      <c r="B964" s="6">
        <v>2874</v>
      </c>
      <c r="C964" s="7" t="s">
        <v>4529</v>
      </c>
      <c r="D964" s="7" t="s">
        <v>4530</v>
      </c>
      <c r="E964" s="8">
        <v>74021811</v>
      </c>
      <c r="F964" s="8">
        <v>2874</v>
      </c>
      <c r="G964" s="7" t="s">
        <v>27</v>
      </c>
      <c r="H964" s="7" t="s">
        <v>4531</v>
      </c>
      <c r="I964" s="7" t="s">
        <v>4532</v>
      </c>
      <c r="J964" s="8">
        <f>73845350870</f>
      </c>
      <c r="K964" s="9"/>
      <c r="L964" s="7" t="s">
        <v>415</v>
      </c>
      <c r="M964" s="8">
        <v>157</v>
      </c>
      <c r="N964" s="7" t="s">
        <v>416</v>
      </c>
      <c r="O964" s="7" t="s">
        <v>73</v>
      </c>
      <c r="P964" s="7" t="s">
        <v>4533</v>
      </c>
      <c r="Q964" s="8" t="s">
        <v>4534</v>
      </c>
      <c r="R964" s="7" t="s">
        <v>33</v>
      </c>
      <c r="S964" s="7" t="s">
        <v>47</v>
      </c>
      <c r="T964" s="10">
        <v>3</v>
      </c>
      <c r="U964" s="7"/>
      <c r="V964" s="10">
        <v>0</v>
      </c>
      <c r="W964" s="7" t="s">
        <v>48</v>
      </c>
      <c r="X964" s="10" t="s">
        <v>36</v>
      </c>
      <c r="Y964" s="7" t="s">
        <v>37</v>
      </c>
    </row>
    <row x14ac:dyDescent="0.25" r="965" customHeight="1" ht="18.75">
      <c r="A965" s="11">
        <v>74021812</v>
      </c>
      <c r="B965" s="12">
        <v>2881</v>
      </c>
      <c r="C965" s="13" t="s">
        <v>4535</v>
      </c>
      <c r="D965" s="13" t="s">
        <v>4536</v>
      </c>
      <c r="E965" s="14">
        <v>74021812</v>
      </c>
      <c r="F965" s="14">
        <v>2881</v>
      </c>
      <c r="G965" s="13" t="s">
        <v>27</v>
      </c>
      <c r="H965" s="13" t="s">
        <v>4537</v>
      </c>
      <c r="I965" s="13" t="s">
        <v>4538</v>
      </c>
      <c r="J965" s="14">
        <f>78412235888</f>
      </c>
      <c r="K965" s="14">
        <v>7</v>
      </c>
      <c r="L965" s="13" t="s">
        <v>146</v>
      </c>
      <c r="M965" s="14">
        <v>53</v>
      </c>
      <c r="N965" s="13" t="s">
        <v>147</v>
      </c>
      <c r="O965" s="13" t="s">
        <v>44</v>
      </c>
      <c r="P965" s="13" t="s">
        <v>148</v>
      </c>
      <c r="Q965" s="14" t="s">
        <v>4536</v>
      </c>
      <c r="R965" s="13" t="s">
        <v>33</v>
      </c>
      <c r="S965" s="13" t="s">
        <v>47</v>
      </c>
      <c r="T965" s="15">
        <v>3</v>
      </c>
      <c r="U965" s="13"/>
      <c r="V965" s="15">
        <v>0</v>
      </c>
      <c r="W965" s="13" t="s">
        <v>48</v>
      </c>
      <c r="X965" s="15" t="s">
        <v>36</v>
      </c>
      <c r="Y965" s="13" t="s">
        <v>37</v>
      </c>
    </row>
    <row x14ac:dyDescent="0.25" r="966" customHeight="1" ht="18.75">
      <c r="A966" s="5">
        <v>74321806</v>
      </c>
      <c r="B966" s="6">
        <v>2891</v>
      </c>
      <c r="C966" s="7" t="s">
        <v>4539</v>
      </c>
      <c r="D966" s="7" t="s">
        <v>4540</v>
      </c>
      <c r="E966" s="8">
        <v>74321806</v>
      </c>
      <c r="F966" s="8">
        <v>2891</v>
      </c>
      <c r="G966" s="7" t="s">
        <v>27</v>
      </c>
      <c r="H966" s="7" t="s">
        <v>4541</v>
      </c>
      <c r="I966" s="7" t="s">
        <v>4542</v>
      </c>
      <c r="J966" s="8">
        <f>74952408424</f>
      </c>
      <c r="K966" s="8">
        <v>6595</v>
      </c>
      <c r="L966" s="7" t="s">
        <v>1276</v>
      </c>
      <c r="M966" s="8">
        <v>105</v>
      </c>
      <c r="N966" s="7" t="s">
        <v>1277</v>
      </c>
      <c r="O966" s="7" t="s">
        <v>82</v>
      </c>
      <c r="P966" s="7" t="s">
        <v>2294</v>
      </c>
      <c r="Q966" s="8" t="s">
        <v>58</v>
      </c>
      <c r="R966" s="7" t="s">
        <v>33</v>
      </c>
      <c r="S966" s="7" t="s">
        <v>47</v>
      </c>
      <c r="T966" s="10">
        <v>3</v>
      </c>
      <c r="U966" s="7"/>
      <c r="V966" s="10">
        <v>0</v>
      </c>
      <c r="W966" s="7" t="s">
        <v>48</v>
      </c>
      <c r="X966" s="10" t="s">
        <v>65</v>
      </c>
      <c r="Y966" s="7" t="s">
        <v>126</v>
      </c>
    </row>
    <row x14ac:dyDescent="0.25" r="967" customHeight="1" ht="18.75">
      <c r="A967" s="11">
        <v>74021813</v>
      </c>
      <c r="B967" s="12">
        <v>2892</v>
      </c>
      <c r="C967" s="13" t="s">
        <v>4543</v>
      </c>
      <c r="D967" s="13" t="s">
        <v>4544</v>
      </c>
      <c r="E967" s="14">
        <v>74021813</v>
      </c>
      <c r="F967" s="14">
        <v>2892</v>
      </c>
      <c r="G967" s="13" t="s">
        <v>27</v>
      </c>
      <c r="H967" s="13" t="s">
        <v>4545</v>
      </c>
      <c r="I967" s="13" t="s">
        <v>4546</v>
      </c>
      <c r="J967" s="14">
        <f>74950230914</f>
      </c>
      <c r="K967" s="9"/>
      <c r="L967" s="13" t="s">
        <v>1334</v>
      </c>
      <c r="M967" s="14">
        <v>123</v>
      </c>
      <c r="N967" s="13" t="s">
        <v>1335</v>
      </c>
      <c r="O967" s="13" t="s">
        <v>32</v>
      </c>
      <c r="P967" s="13" t="s">
        <v>32</v>
      </c>
      <c r="Q967" s="14" t="s">
        <v>58</v>
      </c>
      <c r="R967" s="13" t="s">
        <v>33</v>
      </c>
      <c r="S967" s="13" t="s">
        <v>47</v>
      </c>
      <c r="T967" s="15">
        <v>3</v>
      </c>
      <c r="U967" s="13"/>
      <c r="V967" s="15">
        <v>0</v>
      </c>
      <c r="W967" s="13" t="s">
        <v>48</v>
      </c>
      <c r="X967" s="15" t="s">
        <v>712</v>
      </c>
      <c r="Y967" s="13" t="s">
        <v>59</v>
      </c>
    </row>
    <row x14ac:dyDescent="0.25" r="968" customHeight="1" ht="18.75">
      <c r="A968" s="5">
        <v>74021814</v>
      </c>
      <c r="B968" s="6">
        <v>2901</v>
      </c>
      <c r="C968" s="7" t="s">
        <v>4547</v>
      </c>
      <c r="D968" s="7" t="s">
        <v>4548</v>
      </c>
      <c r="E968" s="8">
        <v>74021814</v>
      </c>
      <c r="F968" s="8">
        <v>2901</v>
      </c>
      <c r="G968" s="7" t="s">
        <v>27</v>
      </c>
      <c r="H968" s="7" t="s">
        <v>4549</v>
      </c>
      <c r="I968" s="7" t="s">
        <v>4550</v>
      </c>
      <c r="J968" s="8">
        <f>74950230913</f>
      </c>
      <c r="K968" s="9"/>
      <c r="L968" s="7" t="s">
        <v>1334</v>
      </c>
      <c r="M968" s="8">
        <v>123</v>
      </c>
      <c r="N968" s="7" t="s">
        <v>1335</v>
      </c>
      <c r="O968" s="7" t="s">
        <v>32</v>
      </c>
      <c r="P968" s="7" t="s">
        <v>32</v>
      </c>
      <c r="Q968" s="8" t="s">
        <v>58</v>
      </c>
      <c r="R968" s="7" t="s">
        <v>33</v>
      </c>
      <c r="S968" s="7" t="s">
        <v>47</v>
      </c>
      <c r="T968" s="10">
        <v>3</v>
      </c>
      <c r="U968" s="7"/>
      <c r="V968" s="10">
        <v>0</v>
      </c>
      <c r="W968" s="7" t="s">
        <v>48</v>
      </c>
      <c r="X968" s="10" t="s">
        <v>712</v>
      </c>
      <c r="Y968" s="7" t="s">
        <v>37</v>
      </c>
    </row>
    <row x14ac:dyDescent="0.25" r="969" customHeight="1" ht="18.75">
      <c r="A969" s="11">
        <v>74021815</v>
      </c>
      <c r="B969" s="12">
        <v>2902</v>
      </c>
      <c r="C969" s="13" t="s">
        <v>4551</v>
      </c>
      <c r="D969" s="13" t="s">
        <v>4552</v>
      </c>
      <c r="E969" s="14">
        <v>74021815</v>
      </c>
      <c r="F969" s="14">
        <v>2902</v>
      </c>
      <c r="G969" s="13" t="s">
        <v>27</v>
      </c>
      <c r="H969" s="13" t="s">
        <v>4553</v>
      </c>
      <c r="I969" s="13" t="s">
        <v>4554</v>
      </c>
      <c r="J969" s="14">
        <f>79143308997</f>
      </c>
      <c r="K969" s="9"/>
      <c r="L969" s="13" t="s">
        <v>721</v>
      </c>
      <c r="M969" s="14">
        <v>115</v>
      </c>
      <c r="N969" s="13" t="s">
        <v>1376</v>
      </c>
      <c r="O969" s="13" t="s">
        <v>723</v>
      </c>
      <c r="P969" s="13" t="s">
        <v>724</v>
      </c>
      <c r="Q969" s="14" t="s">
        <v>4555</v>
      </c>
      <c r="R969" s="13" t="s">
        <v>33</v>
      </c>
      <c r="S969" s="13" t="s">
        <v>47</v>
      </c>
      <c r="T969" s="15">
        <v>3</v>
      </c>
      <c r="U969" s="13"/>
      <c r="V969" s="15">
        <v>0</v>
      </c>
      <c r="W969" s="13" t="s">
        <v>48</v>
      </c>
      <c r="X969" s="15" t="s">
        <v>712</v>
      </c>
      <c r="Y969" s="13" t="s">
        <v>37</v>
      </c>
    </row>
    <row x14ac:dyDescent="0.25" r="970" customHeight="1" ht="18.75">
      <c r="A970" s="5">
        <v>74021816</v>
      </c>
      <c r="B970" s="6">
        <v>2911</v>
      </c>
      <c r="C970" s="7" t="s">
        <v>4556</v>
      </c>
      <c r="D970" s="7" t="s">
        <v>4557</v>
      </c>
      <c r="E970" s="8">
        <v>74021816</v>
      </c>
      <c r="F970" s="8">
        <v>2911</v>
      </c>
      <c r="G970" s="7" t="s">
        <v>27</v>
      </c>
      <c r="H970" s="7" t="s">
        <v>4558</v>
      </c>
      <c r="I970" s="7" t="s">
        <v>4559</v>
      </c>
      <c r="J970" s="8">
        <f>79636302742</f>
      </c>
      <c r="K970" s="9"/>
      <c r="L970" s="7" t="s">
        <v>30</v>
      </c>
      <c r="M970" s="8">
        <v>56</v>
      </c>
      <c r="N970" s="7" t="s">
        <v>31</v>
      </c>
      <c r="O970" s="7" t="s">
        <v>32</v>
      </c>
      <c r="P970" s="7" t="s">
        <v>32</v>
      </c>
      <c r="Q970" s="8" t="s">
        <v>58</v>
      </c>
      <c r="R970" s="7" t="s">
        <v>33</v>
      </c>
      <c r="S970" s="7" t="s">
        <v>47</v>
      </c>
      <c r="T970" s="10">
        <v>3</v>
      </c>
      <c r="U970" s="7"/>
      <c r="V970" s="10">
        <v>0</v>
      </c>
      <c r="W970" s="7" t="s">
        <v>48</v>
      </c>
      <c r="X970" s="10" t="s">
        <v>36</v>
      </c>
      <c r="Y970" s="7" t="s">
        <v>37</v>
      </c>
    </row>
    <row x14ac:dyDescent="0.25" r="971" customHeight="1" ht="18.75">
      <c r="A971" s="11">
        <v>74021819</v>
      </c>
      <c r="B971" s="12">
        <v>2923</v>
      </c>
      <c r="C971" s="13" t="s">
        <v>4560</v>
      </c>
      <c r="D971" s="13" t="s">
        <v>4561</v>
      </c>
      <c r="E971" s="14">
        <v>74021819</v>
      </c>
      <c r="F971" s="14">
        <v>2923</v>
      </c>
      <c r="G971" s="13" t="s">
        <v>27</v>
      </c>
      <c r="H971" s="13" t="s">
        <v>4562</v>
      </c>
      <c r="I971" s="13" t="s">
        <v>4563</v>
      </c>
      <c r="J971" s="14">
        <f>79094804593</f>
      </c>
      <c r="K971" s="9"/>
      <c r="L971" s="13" t="s">
        <v>117</v>
      </c>
      <c r="M971" s="14">
        <v>210</v>
      </c>
      <c r="N971" s="13" t="s">
        <v>118</v>
      </c>
      <c r="O971" s="13" t="s">
        <v>119</v>
      </c>
      <c r="P971" s="13" t="s">
        <v>4564</v>
      </c>
      <c r="Q971" s="14" t="s">
        <v>58</v>
      </c>
      <c r="R971" s="13" t="s">
        <v>33</v>
      </c>
      <c r="S971" s="13" t="s">
        <v>47</v>
      </c>
      <c r="T971" s="15">
        <v>3</v>
      </c>
      <c r="U971" s="13"/>
      <c r="V971" s="15">
        <v>0</v>
      </c>
      <c r="W971" s="13" t="s">
        <v>48</v>
      </c>
      <c r="X971" s="15" t="s">
        <v>712</v>
      </c>
      <c r="Y971" s="13" t="s">
        <v>126</v>
      </c>
    </row>
    <row x14ac:dyDescent="0.25" r="972" customHeight="1" ht="18.75">
      <c r="A972" s="5">
        <v>74021820</v>
      </c>
      <c r="B972" s="6">
        <v>2931</v>
      </c>
      <c r="C972" s="7" t="s">
        <v>4565</v>
      </c>
      <c r="D972" s="7" t="s">
        <v>4566</v>
      </c>
      <c r="E972" s="8">
        <v>74021820</v>
      </c>
      <c r="F972" s="8">
        <v>2931</v>
      </c>
      <c r="G972" s="7" t="s">
        <v>27</v>
      </c>
      <c r="H972" s="7" t="s">
        <v>4567</v>
      </c>
      <c r="I972" s="7" t="s">
        <v>4568</v>
      </c>
      <c r="J972" s="7" t="s">
        <v>467</v>
      </c>
      <c r="K972" s="9"/>
      <c r="L972" s="7" t="s">
        <v>117</v>
      </c>
      <c r="M972" s="8">
        <v>210</v>
      </c>
      <c r="N972" s="7" t="s">
        <v>118</v>
      </c>
      <c r="O972" s="7" t="s">
        <v>119</v>
      </c>
      <c r="P972" s="7" t="s">
        <v>4569</v>
      </c>
      <c r="Q972" s="8" t="s">
        <v>4570</v>
      </c>
      <c r="R972" s="7" t="s">
        <v>33</v>
      </c>
      <c r="S972" s="7" t="s">
        <v>47</v>
      </c>
      <c r="T972" s="10">
        <v>3</v>
      </c>
      <c r="U972" s="7"/>
      <c r="V972" s="10">
        <v>0</v>
      </c>
      <c r="W972" s="7" t="s">
        <v>48</v>
      </c>
      <c r="X972" s="10" t="s">
        <v>712</v>
      </c>
      <c r="Y972" s="7" t="s">
        <v>37</v>
      </c>
    </row>
    <row x14ac:dyDescent="0.25" r="973" customHeight="1" ht="18.75">
      <c r="A973" s="11">
        <v>74021821</v>
      </c>
      <c r="B973" s="12">
        <v>2932</v>
      </c>
      <c r="C973" s="13" t="s">
        <v>4571</v>
      </c>
      <c r="D973" s="13" t="s">
        <v>4572</v>
      </c>
      <c r="E973" s="14">
        <v>74021821</v>
      </c>
      <c r="F973" s="14">
        <v>2932</v>
      </c>
      <c r="G973" s="13" t="s">
        <v>27</v>
      </c>
      <c r="H973" s="13" t="s">
        <v>4573</v>
      </c>
      <c r="I973" s="13" t="s">
        <v>4574</v>
      </c>
      <c r="J973" s="14">
        <f>74950231255</f>
      </c>
      <c r="K973" s="9"/>
      <c r="L973" s="13" t="s">
        <v>1334</v>
      </c>
      <c r="M973" s="14">
        <v>123</v>
      </c>
      <c r="N973" s="13" t="s">
        <v>1335</v>
      </c>
      <c r="O973" s="13" t="s">
        <v>32</v>
      </c>
      <c r="P973" s="13" t="s">
        <v>32</v>
      </c>
      <c r="Q973" s="14" t="s">
        <v>58</v>
      </c>
      <c r="R973" s="13" t="s">
        <v>33</v>
      </c>
      <c r="S973" s="13" t="s">
        <v>47</v>
      </c>
      <c r="T973" s="15">
        <v>3</v>
      </c>
      <c r="U973" s="13" t="s">
        <v>35</v>
      </c>
      <c r="V973" s="15" t="s">
        <v>214</v>
      </c>
      <c r="W973" s="13" t="s">
        <v>48</v>
      </c>
      <c r="X973" s="15" t="s">
        <v>712</v>
      </c>
      <c r="Y973" s="13" t="s">
        <v>37</v>
      </c>
    </row>
    <row x14ac:dyDescent="0.25" r="974" customHeight="1" ht="18.75">
      <c r="A974" s="5">
        <v>74021822</v>
      </c>
      <c r="B974" s="6">
        <v>2941</v>
      </c>
      <c r="C974" s="7" t="s">
        <v>4575</v>
      </c>
      <c r="D974" s="7" t="s">
        <v>4576</v>
      </c>
      <c r="E974" s="8">
        <v>74021822</v>
      </c>
      <c r="F974" s="8">
        <v>2941</v>
      </c>
      <c r="G974" s="7" t="s">
        <v>27</v>
      </c>
      <c r="H974" s="7" t="s">
        <v>4577</v>
      </c>
      <c r="I974" s="7" t="s">
        <v>4578</v>
      </c>
      <c r="J974" s="8">
        <f>79274578387</f>
      </c>
      <c r="K974" s="9"/>
      <c r="L974" s="7" t="s">
        <v>54</v>
      </c>
      <c r="M974" s="8">
        <v>188</v>
      </c>
      <c r="N974" s="7" t="s">
        <v>55</v>
      </c>
      <c r="O974" s="7" t="s">
        <v>44</v>
      </c>
      <c r="P974" s="7" t="s">
        <v>292</v>
      </c>
      <c r="Q974" s="8" t="s">
        <v>182</v>
      </c>
      <c r="R974" s="7" t="s">
        <v>33</v>
      </c>
      <c r="S974" s="7" t="s">
        <v>47</v>
      </c>
      <c r="T974" s="10">
        <v>3</v>
      </c>
      <c r="U974" s="7"/>
      <c r="V974" s="10">
        <v>0</v>
      </c>
      <c r="W974" s="7" t="s">
        <v>48</v>
      </c>
      <c r="X974" s="10" t="s">
        <v>65</v>
      </c>
      <c r="Y974" s="7" t="s">
        <v>84</v>
      </c>
    </row>
    <row x14ac:dyDescent="0.25" r="975" customHeight="1" ht="18.75">
      <c r="A975" s="11">
        <v>74021823</v>
      </c>
      <c r="B975" s="12">
        <v>2942</v>
      </c>
      <c r="C975" s="13" t="s">
        <v>4579</v>
      </c>
      <c r="D975" s="13" t="s">
        <v>4580</v>
      </c>
      <c r="E975" s="14">
        <v>74021823</v>
      </c>
      <c r="F975" s="14">
        <v>2942</v>
      </c>
      <c r="G975" s="13" t="s">
        <v>27</v>
      </c>
      <c r="H975" s="13" t="s">
        <v>4581</v>
      </c>
      <c r="I975" s="13" t="s">
        <v>4582</v>
      </c>
      <c r="J975" s="14">
        <f>78612387638</f>
      </c>
      <c r="K975" s="9"/>
      <c r="L975" s="13" t="s">
        <v>54</v>
      </c>
      <c r="M975" s="14">
        <v>188</v>
      </c>
      <c r="N975" s="13" t="s">
        <v>55</v>
      </c>
      <c r="O975" s="13" t="s">
        <v>119</v>
      </c>
      <c r="P975" s="13" t="s">
        <v>4256</v>
      </c>
      <c r="Q975" s="14" t="s">
        <v>1039</v>
      </c>
      <c r="R975" s="13" t="s">
        <v>33</v>
      </c>
      <c r="S975" s="13" t="s">
        <v>47</v>
      </c>
      <c r="T975" s="15">
        <v>3</v>
      </c>
      <c r="U975" s="13"/>
      <c r="V975" s="15">
        <v>0</v>
      </c>
      <c r="W975" s="13" t="s">
        <v>48</v>
      </c>
      <c r="X975" s="15" t="s">
        <v>36</v>
      </c>
      <c r="Y975" s="13" t="s">
        <v>126</v>
      </c>
    </row>
    <row x14ac:dyDescent="0.25" r="976" customHeight="1" ht="18.75">
      <c r="A976" s="5">
        <v>74021824</v>
      </c>
      <c r="B976" s="6">
        <v>2943</v>
      </c>
      <c r="C976" s="7" t="s">
        <v>4583</v>
      </c>
      <c r="D976" s="7" t="s">
        <v>4584</v>
      </c>
      <c r="E976" s="8">
        <v>74021824</v>
      </c>
      <c r="F976" s="8">
        <v>2943</v>
      </c>
      <c r="G976" s="7" t="s">
        <v>27</v>
      </c>
      <c r="H976" s="7" t="s">
        <v>4585</v>
      </c>
      <c r="I976" s="7" t="s">
        <v>4586</v>
      </c>
      <c r="J976" s="8">
        <f>79312579851</f>
      </c>
      <c r="K976" s="9"/>
      <c r="L976" s="7" t="s">
        <v>54</v>
      </c>
      <c r="M976" s="8">
        <v>188</v>
      </c>
      <c r="N976" s="7" t="s">
        <v>55</v>
      </c>
      <c r="O976" s="7" t="s">
        <v>56</v>
      </c>
      <c r="P976" s="7" t="s">
        <v>57</v>
      </c>
      <c r="Q976" s="8" t="s">
        <v>58</v>
      </c>
      <c r="R976" s="7" t="s">
        <v>33</v>
      </c>
      <c r="S976" s="7" t="s">
        <v>47</v>
      </c>
      <c r="T976" s="10">
        <v>3</v>
      </c>
      <c r="U976" s="7"/>
      <c r="V976" s="10">
        <v>0</v>
      </c>
      <c r="W976" s="7" t="s">
        <v>48</v>
      </c>
      <c r="X976" s="10" t="s">
        <v>36</v>
      </c>
      <c r="Y976" s="7" t="s">
        <v>37</v>
      </c>
    </row>
    <row x14ac:dyDescent="0.25" r="977" customHeight="1" ht="18.75">
      <c r="A977" s="11">
        <v>74021825</v>
      </c>
      <c r="B977" s="12">
        <v>2944</v>
      </c>
      <c r="C977" s="13" t="s">
        <v>4587</v>
      </c>
      <c r="D977" s="13" t="s">
        <v>4588</v>
      </c>
      <c r="E977" s="14">
        <v>74021825</v>
      </c>
      <c r="F977" s="14">
        <v>2944</v>
      </c>
      <c r="G977" s="13" t="s">
        <v>27</v>
      </c>
      <c r="H977" s="13" t="s">
        <v>4589</v>
      </c>
      <c r="I977" s="13" t="s">
        <v>4590</v>
      </c>
      <c r="J977" s="14">
        <f>79299200396</f>
      </c>
      <c r="K977" s="9"/>
      <c r="L977" s="13" t="s">
        <v>544</v>
      </c>
      <c r="M977" s="14">
        <v>74</v>
      </c>
      <c r="N977" s="13" t="s">
        <v>545</v>
      </c>
      <c r="O977" s="13" t="s">
        <v>232</v>
      </c>
      <c r="P977" s="13" t="s">
        <v>4457</v>
      </c>
      <c r="Q977" s="14" t="s">
        <v>58</v>
      </c>
      <c r="R977" s="13" t="s">
        <v>33</v>
      </c>
      <c r="S977" s="13" t="s">
        <v>47</v>
      </c>
      <c r="T977" s="15">
        <v>3</v>
      </c>
      <c r="U977" s="13"/>
      <c r="V977" s="15">
        <v>0</v>
      </c>
      <c r="W977" s="13" t="s">
        <v>48</v>
      </c>
      <c r="X977" s="15" t="s">
        <v>712</v>
      </c>
      <c r="Y977" s="13" t="s">
        <v>84</v>
      </c>
    </row>
    <row x14ac:dyDescent="0.25" r="978" customHeight="1" ht="18.75">
      <c r="A978" s="5">
        <v>74021826</v>
      </c>
      <c r="B978" s="6">
        <v>2945</v>
      </c>
      <c r="C978" s="7" t="s">
        <v>4591</v>
      </c>
      <c r="D978" s="7" t="s">
        <v>4592</v>
      </c>
      <c r="E978" s="8">
        <v>74021826</v>
      </c>
      <c r="F978" s="8">
        <v>2945</v>
      </c>
      <c r="G978" s="7" t="s">
        <v>27</v>
      </c>
      <c r="H978" s="7" t="s">
        <v>4593</v>
      </c>
      <c r="I978" s="7" t="s">
        <v>4594</v>
      </c>
      <c r="J978" s="8">
        <f>79299200302</f>
      </c>
      <c r="K978" s="9"/>
      <c r="L978" s="7" t="s">
        <v>544</v>
      </c>
      <c r="M978" s="8">
        <v>74</v>
      </c>
      <c r="N978" s="7" t="s">
        <v>545</v>
      </c>
      <c r="O978" s="7" t="s">
        <v>232</v>
      </c>
      <c r="P978" s="7" t="s">
        <v>1355</v>
      </c>
      <c r="Q978" s="8" t="s">
        <v>58</v>
      </c>
      <c r="R978" s="7" t="s">
        <v>33</v>
      </c>
      <c r="S978" s="7" t="s">
        <v>47</v>
      </c>
      <c r="T978" s="10">
        <v>3</v>
      </c>
      <c r="U978" s="7"/>
      <c r="V978" s="10">
        <v>0</v>
      </c>
      <c r="W978" s="7" t="s">
        <v>48</v>
      </c>
      <c r="X978" s="10" t="s">
        <v>712</v>
      </c>
      <c r="Y978" s="7" t="s">
        <v>126</v>
      </c>
    </row>
    <row x14ac:dyDescent="0.25" r="979" customHeight="1" ht="18.75">
      <c r="A979" s="11">
        <v>74021830</v>
      </c>
      <c r="B979" s="12">
        <v>2961</v>
      </c>
      <c r="C979" s="13" t="s">
        <v>4595</v>
      </c>
      <c r="D979" s="13" t="s">
        <v>4596</v>
      </c>
      <c r="E979" s="14">
        <v>74021830</v>
      </c>
      <c r="F979" s="14">
        <v>2961</v>
      </c>
      <c r="G979" s="13" t="s">
        <v>27</v>
      </c>
      <c r="H979" s="13" t="s">
        <v>4597</v>
      </c>
      <c r="I979" s="13" t="s">
        <v>4598</v>
      </c>
      <c r="J979" s="14">
        <f>74951980942</f>
      </c>
      <c r="K979" s="9"/>
      <c r="L979" s="13" t="s">
        <v>80</v>
      </c>
      <c r="M979" s="14">
        <v>100210</v>
      </c>
      <c r="N979" s="13" t="s">
        <v>4599</v>
      </c>
      <c r="O979" s="13" t="s">
        <v>32</v>
      </c>
      <c r="P979" s="13" t="s">
        <v>32</v>
      </c>
      <c r="Q979" s="14" t="s">
        <v>58</v>
      </c>
      <c r="R979" s="13" t="s">
        <v>33</v>
      </c>
      <c r="S979" s="13" t="s">
        <v>47</v>
      </c>
      <c r="T979" s="15">
        <v>3</v>
      </c>
      <c r="U979" s="13"/>
      <c r="V979" s="15">
        <v>0</v>
      </c>
      <c r="W979" s="13" t="s">
        <v>48</v>
      </c>
      <c r="X979" s="15" t="s">
        <v>712</v>
      </c>
      <c r="Y979" s="13" t="s">
        <v>37</v>
      </c>
    </row>
    <row x14ac:dyDescent="0.25" r="980" customHeight="1" ht="18.75">
      <c r="A980" s="5">
        <v>74021831</v>
      </c>
      <c r="B980" s="6">
        <v>2962</v>
      </c>
      <c r="C980" s="7" t="s">
        <v>4600</v>
      </c>
      <c r="D980" s="7" t="s">
        <v>4601</v>
      </c>
      <c r="E980" s="8">
        <v>74021831</v>
      </c>
      <c r="F980" s="8">
        <v>2962</v>
      </c>
      <c r="G980" s="7" t="s">
        <v>27</v>
      </c>
      <c r="H980" s="7" t="s">
        <v>4602</v>
      </c>
      <c r="I980" s="7" t="s">
        <v>4603</v>
      </c>
      <c r="J980" s="8">
        <f>74951980941</f>
      </c>
      <c r="K980" s="9"/>
      <c r="L980" s="7" t="s">
        <v>80</v>
      </c>
      <c r="M980" s="8">
        <v>100210</v>
      </c>
      <c r="N980" s="7" t="s">
        <v>4599</v>
      </c>
      <c r="O980" s="7" t="s">
        <v>32</v>
      </c>
      <c r="P980" s="7" t="s">
        <v>32</v>
      </c>
      <c r="Q980" s="8" t="s">
        <v>58</v>
      </c>
      <c r="R980" s="7" t="s">
        <v>33</v>
      </c>
      <c r="S980" s="7" t="s">
        <v>47</v>
      </c>
      <c r="T980" s="10">
        <v>3</v>
      </c>
      <c r="U980" s="7"/>
      <c r="V980" s="10">
        <v>0</v>
      </c>
      <c r="W980" s="7" t="s">
        <v>48</v>
      </c>
      <c r="X980" s="10" t="s">
        <v>712</v>
      </c>
      <c r="Y980" s="7" t="s">
        <v>37</v>
      </c>
    </row>
    <row x14ac:dyDescent="0.25" r="981" customHeight="1" ht="18.75">
      <c r="A981" s="11">
        <v>74021832</v>
      </c>
      <c r="B981" s="12">
        <v>2963</v>
      </c>
      <c r="C981" s="13" t="s">
        <v>4604</v>
      </c>
      <c r="D981" s="13" t="s">
        <v>4605</v>
      </c>
      <c r="E981" s="14">
        <v>74021832</v>
      </c>
      <c r="F981" s="14">
        <v>2963</v>
      </c>
      <c r="G981" s="13" t="s">
        <v>27</v>
      </c>
      <c r="H981" s="13" t="s">
        <v>4606</v>
      </c>
      <c r="I981" s="13" t="s">
        <v>4607</v>
      </c>
      <c r="J981" s="14">
        <f>73422155982</f>
      </c>
      <c r="K981" s="9"/>
      <c r="L981" s="13" t="s">
        <v>42</v>
      </c>
      <c r="M981" s="14">
        <v>86</v>
      </c>
      <c r="N981" s="13" t="s">
        <v>977</v>
      </c>
      <c r="O981" s="13" t="s">
        <v>96</v>
      </c>
      <c r="P981" s="13" t="s">
        <v>978</v>
      </c>
      <c r="Q981" s="14" t="s">
        <v>4608</v>
      </c>
      <c r="R981" s="13" t="s">
        <v>33</v>
      </c>
      <c r="S981" s="13" t="s">
        <v>47</v>
      </c>
      <c r="T981" s="15">
        <v>3</v>
      </c>
      <c r="U981" s="13"/>
      <c r="V981" s="15">
        <v>0</v>
      </c>
      <c r="W981" s="13" t="s">
        <v>48</v>
      </c>
      <c r="X981" s="15" t="s">
        <v>36</v>
      </c>
      <c r="Y981" s="13" t="s">
        <v>59</v>
      </c>
    </row>
    <row x14ac:dyDescent="0.25" r="982" customHeight="1" ht="18.75">
      <c r="A982" s="5">
        <v>74021836</v>
      </c>
      <c r="B982" s="6">
        <v>2992</v>
      </c>
      <c r="C982" s="7" t="s">
        <v>4609</v>
      </c>
      <c r="D982" s="7" t="s">
        <v>4610</v>
      </c>
      <c r="E982" s="8">
        <v>74021836</v>
      </c>
      <c r="F982" s="8">
        <v>2992</v>
      </c>
      <c r="G982" s="7" t="s">
        <v>27</v>
      </c>
      <c r="H982" s="7" t="s">
        <v>4611</v>
      </c>
      <c r="I982" s="7" t="s">
        <v>4612</v>
      </c>
      <c r="J982" s="7" t="s">
        <v>467</v>
      </c>
      <c r="K982" s="9"/>
      <c r="L982" s="7" t="s">
        <v>721</v>
      </c>
      <c r="M982" s="8">
        <v>116</v>
      </c>
      <c r="N982" s="7" t="s">
        <v>1269</v>
      </c>
      <c r="O982" s="7" t="s">
        <v>723</v>
      </c>
      <c r="P982" s="7" t="s">
        <v>1270</v>
      </c>
      <c r="Q982" s="8" t="s">
        <v>4610</v>
      </c>
      <c r="R982" s="7" t="s">
        <v>33</v>
      </c>
      <c r="S982" s="7" t="s">
        <v>47</v>
      </c>
      <c r="T982" s="10">
        <v>3</v>
      </c>
      <c r="U982" s="7"/>
      <c r="V982" s="10">
        <v>0</v>
      </c>
      <c r="W982" s="7" t="s">
        <v>48</v>
      </c>
      <c r="X982" s="10" t="s">
        <v>712</v>
      </c>
      <c r="Y982" s="7" t="s">
        <v>37</v>
      </c>
    </row>
    <row x14ac:dyDescent="0.25" r="983" customHeight="1" ht="18.75">
      <c r="A983" s="11">
        <v>74021833</v>
      </c>
      <c r="B983" s="12">
        <v>3001</v>
      </c>
      <c r="C983" s="13" t="s">
        <v>4613</v>
      </c>
      <c r="D983" s="13" t="s">
        <v>4614</v>
      </c>
      <c r="E983" s="14">
        <v>74021833</v>
      </c>
      <c r="F983" s="14">
        <v>3001</v>
      </c>
      <c r="G983" s="13" t="s">
        <v>27</v>
      </c>
      <c r="H983" s="13" t="s">
        <v>4615</v>
      </c>
      <c r="I983" s="13" t="s">
        <v>4616</v>
      </c>
      <c r="J983" s="14">
        <f>73012569625</f>
      </c>
      <c r="K983" s="14">
        <v>3304</v>
      </c>
      <c r="L983" s="13" t="s">
        <v>508</v>
      </c>
      <c r="M983" s="14">
        <v>100000</v>
      </c>
      <c r="N983" s="13" t="s">
        <v>1755</v>
      </c>
      <c r="O983" s="13" t="s">
        <v>73</v>
      </c>
      <c r="P983" s="13" t="s">
        <v>3992</v>
      </c>
      <c r="Q983" s="14" t="s">
        <v>1742</v>
      </c>
      <c r="R983" s="13" t="s">
        <v>33</v>
      </c>
      <c r="S983" s="13" t="s">
        <v>47</v>
      </c>
      <c r="T983" s="15">
        <v>3</v>
      </c>
      <c r="U983" s="13"/>
      <c r="V983" s="15">
        <v>0</v>
      </c>
      <c r="W983" s="13" t="s">
        <v>48</v>
      </c>
      <c r="X983" s="15" t="s">
        <v>65</v>
      </c>
      <c r="Y983" s="13" t="s">
        <v>37</v>
      </c>
    </row>
    <row x14ac:dyDescent="0.25" r="984" customHeight="1" ht="18.75">
      <c r="A984" s="5">
        <v>74321808</v>
      </c>
      <c r="B984" s="6">
        <v>3042</v>
      </c>
      <c r="C984" s="7" t="s">
        <v>4617</v>
      </c>
      <c r="D984" s="7" t="s">
        <v>4618</v>
      </c>
      <c r="E984" s="8">
        <v>74321808</v>
      </c>
      <c r="F984" s="8">
        <v>3042</v>
      </c>
      <c r="G984" s="7" t="s">
        <v>27</v>
      </c>
      <c r="H984" s="7" t="s">
        <v>4619</v>
      </c>
      <c r="I984" s="7" t="s">
        <v>4620</v>
      </c>
      <c r="J984" s="9"/>
      <c r="K984" s="8"/>
      <c r="L984" s="7" t="s">
        <v>1276</v>
      </c>
      <c r="M984" s="8">
        <v>105</v>
      </c>
      <c r="N984" s="7" t="s">
        <v>1277</v>
      </c>
      <c r="O984" s="7" t="s">
        <v>73</v>
      </c>
      <c r="P984" s="7" t="s">
        <v>1532</v>
      </c>
      <c r="Q984" s="8" t="s">
        <v>1533</v>
      </c>
      <c r="R984" s="7" t="s">
        <v>33</v>
      </c>
      <c r="S984" s="7" t="s">
        <v>47</v>
      </c>
      <c r="T984" s="10">
        <v>3</v>
      </c>
      <c r="U984" s="7"/>
      <c r="V984" s="10">
        <v>0</v>
      </c>
      <c r="W984" s="7" t="s">
        <v>48</v>
      </c>
      <c r="X984" s="10" t="s">
        <v>65</v>
      </c>
      <c r="Y984" s="7" t="s">
        <v>84</v>
      </c>
    </row>
    <row x14ac:dyDescent="0.25" r="985" customHeight="1" ht="18.75">
      <c r="A985" s="11">
        <v>74321809</v>
      </c>
      <c r="B985" s="12">
        <v>3053</v>
      </c>
      <c r="C985" s="13" t="s">
        <v>4621</v>
      </c>
      <c r="D985" s="13" t="s">
        <v>4622</v>
      </c>
      <c r="E985" s="14">
        <v>74321809</v>
      </c>
      <c r="F985" s="14">
        <v>3053</v>
      </c>
      <c r="G985" s="13" t="s">
        <v>27</v>
      </c>
      <c r="H985" s="13" t="s">
        <v>4623</v>
      </c>
      <c r="I985" s="13" t="s">
        <v>4624</v>
      </c>
      <c r="J985" s="14">
        <f>74952408424</f>
      </c>
      <c r="K985" s="14">
        <v>6598</v>
      </c>
      <c r="L985" s="13" t="s">
        <v>1276</v>
      </c>
      <c r="M985" s="14">
        <v>105</v>
      </c>
      <c r="N985" s="13" t="s">
        <v>1277</v>
      </c>
      <c r="O985" s="13" t="s">
        <v>510</v>
      </c>
      <c r="P985" s="13" t="s">
        <v>4625</v>
      </c>
      <c r="Q985" s="14" t="s">
        <v>1742</v>
      </c>
      <c r="R985" s="13" t="s">
        <v>33</v>
      </c>
      <c r="S985" s="13" t="s">
        <v>47</v>
      </c>
      <c r="T985" s="15">
        <v>5</v>
      </c>
      <c r="U985" s="13"/>
      <c r="V985" s="15">
        <v>0</v>
      </c>
      <c r="W985" s="13" t="s">
        <v>48</v>
      </c>
      <c r="X985" s="15" t="s">
        <v>65</v>
      </c>
      <c r="Y985" s="13" t="s">
        <v>37</v>
      </c>
    </row>
    <row x14ac:dyDescent="0.25" r="986" customHeight="1" ht="18.75">
      <c r="A986" s="5">
        <v>74321810</v>
      </c>
      <c r="B986" s="6">
        <v>3054</v>
      </c>
      <c r="C986" s="7" t="s">
        <v>4626</v>
      </c>
      <c r="D986" s="7" t="s">
        <v>4627</v>
      </c>
      <c r="E986" s="8">
        <v>74321810</v>
      </c>
      <c r="F986" s="8">
        <v>3054</v>
      </c>
      <c r="G986" s="7" t="s">
        <v>27</v>
      </c>
      <c r="H986" s="7" t="s">
        <v>4628</v>
      </c>
      <c r="I986" s="7" t="s">
        <v>4629</v>
      </c>
      <c r="J986" s="8">
        <f>74952408424</f>
      </c>
      <c r="K986" s="8">
        <v>6599</v>
      </c>
      <c r="L986" s="7" t="s">
        <v>1276</v>
      </c>
      <c r="M986" s="8">
        <v>105</v>
      </c>
      <c r="N986" s="7" t="s">
        <v>1277</v>
      </c>
      <c r="O986" s="7" t="s">
        <v>510</v>
      </c>
      <c r="P986" s="7" t="s">
        <v>2810</v>
      </c>
      <c r="Q986" s="8" t="s">
        <v>112</v>
      </c>
      <c r="R986" s="7" t="s">
        <v>33</v>
      </c>
      <c r="S986" s="7" t="s">
        <v>47</v>
      </c>
      <c r="T986" s="10">
        <v>3</v>
      </c>
      <c r="U986" s="7"/>
      <c r="V986" s="10">
        <v>0</v>
      </c>
      <c r="W986" s="7" t="s">
        <v>48</v>
      </c>
      <c r="X986" s="10" t="s">
        <v>65</v>
      </c>
      <c r="Y986" s="7" t="s">
        <v>37</v>
      </c>
    </row>
    <row x14ac:dyDescent="0.25" r="987" customHeight="1" ht="18.75">
      <c r="A987" s="11">
        <v>74321811</v>
      </c>
      <c r="B987" s="12">
        <v>3055</v>
      </c>
      <c r="C987" s="13" t="s">
        <v>4630</v>
      </c>
      <c r="D987" s="13" t="s">
        <v>4631</v>
      </c>
      <c r="E987" s="14">
        <v>74321811</v>
      </c>
      <c r="F987" s="14">
        <v>3055</v>
      </c>
      <c r="G987" s="13" t="s">
        <v>27</v>
      </c>
      <c r="H987" s="13" t="s">
        <v>4632</v>
      </c>
      <c r="I987" s="13" t="s">
        <v>4633</v>
      </c>
      <c r="J987" s="14">
        <f>74952408424</f>
      </c>
      <c r="K987" s="14">
        <v>6597</v>
      </c>
      <c r="L987" s="13" t="s">
        <v>1276</v>
      </c>
      <c r="M987" s="14">
        <v>105</v>
      </c>
      <c r="N987" s="13" t="s">
        <v>1277</v>
      </c>
      <c r="O987" s="13" t="s">
        <v>510</v>
      </c>
      <c r="P987" s="13" t="s">
        <v>2779</v>
      </c>
      <c r="Q987" s="14" t="s">
        <v>112</v>
      </c>
      <c r="R987" s="13" t="s">
        <v>33</v>
      </c>
      <c r="S987" s="13" t="s">
        <v>47</v>
      </c>
      <c r="T987" s="15">
        <v>2</v>
      </c>
      <c r="U987" s="13"/>
      <c r="V987" s="15">
        <v>0</v>
      </c>
      <c r="W987" s="13" t="s">
        <v>48</v>
      </c>
      <c r="X987" s="15" t="s">
        <v>65</v>
      </c>
      <c r="Y987" s="13" t="s">
        <v>59</v>
      </c>
    </row>
    <row x14ac:dyDescent="0.25" r="988" customHeight="1" ht="18.75">
      <c r="A988" s="5">
        <v>74321812</v>
      </c>
      <c r="B988" s="6">
        <v>3061</v>
      </c>
      <c r="C988" s="7" t="s">
        <v>4634</v>
      </c>
      <c r="D988" s="7" t="s">
        <v>4635</v>
      </c>
      <c r="E988" s="8">
        <v>74321812</v>
      </c>
      <c r="F988" s="8">
        <v>3061</v>
      </c>
      <c r="G988" s="7" t="s">
        <v>27</v>
      </c>
      <c r="H988" s="7" t="s">
        <v>4636</v>
      </c>
      <c r="I988" s="7" t="s">
        <v>4637</v>
      </c>
      <c r="J988" s="8">
        <f>74952408424</f>
      </c>
      <c r="K988" s="8">
        <v>6619</v>
      </c>
      <c r="L988" s="7" t="s">
        <v>1276</v>
      </c>
      <c r="M988" s="8">
        <v>105</v>
      </c>
      <c r="N988" s="7" t="s">
        <v>1277</v>
      </c>
      <c r="O988" s="7" t="s">
        <v>82</v>
      </c>
      <c r="P988" s="7" t="s">
        <v>4638</v>
      </c>
      <c r="Q988" s="8" t="s">
        <v>58</v>
      </c>
      <c r="R988" s="7" t="s">
        <v>33</v>
      </c>
      <c r="S988" s="7" t="s">
        <v>47</v>
      </c>
      <c r="T988" s="10">
        <v>3</v>
      </c>
      <c r="U988" s="7"/>
      <c r="V988" s="10">
        <v>0</v>
      </c>
      <c r="W988" s="7" t="s">
        <v>48</v>
      </c>
      <c r="X988" s="10" t="s">
        <v>65</v>
      </c>
      <c r="Y988" s="7" t="s">
        <v>37</v>
      </c>
    </row>
    <row x14ac:dyDescent="0.25" r="989" customHeight="1" ht="18.75">
      <c r="A989" s="11">
        <v>74321813</v>
      </c>
      <c r="B989" s="12">
        <v>3062</v>
      </c>
      <c r="C989" s="13" t="s">
        <v>4639</v>
      </c>
      <c r="D989" s="13" t="s">
        <v>4640</v>
      </c>
      <c r="E989" s="14">
        <v>74321813</v>
      </c>
      <c r="F989" s="14">
        <v>3062</v>
      </c>
      <c r="G989" s="13" t="s">
        <v>27</v>
      </c>
      <c r="H989" s="13" t="s">
        <v>4641</v>
      </c>
      <c r="I989" s="13" t="s">
        <v>4642</v>
      </c>
      <c r="J989" s="14">
        <f>74952408424</f>
      </c>
      <c r="K989" s="14">
        <v>6620</v>
      </c>
      <c r="L989" s="13" t="s">
        <v>1276</v>
      </c>
      <c r="M989" s="14">
        <v>105</v>
      </c>
      <c r="N989" s="13" t="s">
        <v>1277</v>
      </c>
      <c r="O989" s="13" t="s">
        <v>32</v>
      </c>
      <c r="P989" s="13" t="s">
        <v>32</v>
      </c>
      <c r="Q989" s="14" t="s">
        <v>58</v>
      </c>
      <c r="R989" s="13" t="s">
        <v>33</v>
      </c>
      <c r="S989" s="13" t="s">
        <v>47</v>
      </c>
      <c r="T989" s="15">
        <v>3</v>
      </c>
      <c r="U989" s="13"/>
      <c r="V989" s="15">
        <v>0</v>
      </c>
      <c r="W989" s="13" t="s">
        <v>48</v>
      </c>
      <c r="X989" s="15" t="s">
        <v>36</v>
      </c>
      <c r="Y989" s="13" t="s">
        <v>59</v>
      </c>
    </row>
    <row x14ac:dyDescent="0.25" r="990" customHeight="1" ht="18.75">
      <c r="A990" s="5">
        <v>74321814</v>
      </c>
      <c r="B990" s="6">
        <v>3064</v>
      </c>
      <c r="C990" s="7" t="s">
        <v>4643</v>
      </c>
      <c r="D990" s="7" t="s">
        <v>4644</v>
      </c>
      <c r="E990" s="8">
        <v>74321814</v>
      </c>
      <c r="F990" s="8">
        <v>3064</v>
      </c>
      <c r="G990" s="7" t="s">
        <v>27</v>
      </c>
      <c r="H990" s="7" t="s">
        <v>4645</v>
      </c>
      <c r="I990" s="7" t="s">
        <v>4646</v>
      </c>
      <c r="J990" s="8">
        <f>74952408424</f>
      </c>
      <c r="K990" s="8">
        <v>6618</v>
      </c>
      <c r="L990" s="7" t="s">
        <v>1276</v>
      </c>
      <c r="M990" s="8">
        <v>105</v>
      </c>
      <c r="N990" s="7" t="s">
        <v>1277</v>
      </c>
      <c r="O990" s="7" t="s">
        <v>82</v>
      </c>
      <c r="P990" s="7" t="s">
        <v>651</v>
      </c>
      <c r="Q990" s="8" t="s">
        <v>58</v>
      </c>
      <c r="R990" s="7" t="s">
        <v>33</v>
      </c>
      <c r="S990" s="7" t="s">
        <v>47</v>
      </c>
      <c r="T990" s="10">
        <v>3</v>
      </c>
      <c r="U990" s="7"/>
      <c r="V990" s="10">
        <v>0</v>
      </c>
      <c r="W990" s="7" t="s">
        <v>48</v>
      </c>
      <c r="X990" s="10" t="s">
        <v>65</v>
      </c>
      <c r="Y990" s="7" t="s">
        <v>59</v>
      </c>
    </row>
    <row x14ac:dyDescent="0.25" r="991" customHeight="1" ht="18.75">
      <c r="A991" s="11">
        <v>74021842</v>
      </c>
      <c r="B991" s="12">
        <v>3065</v>
      </c>
      <c r="C991" s="13" t="s">
        <v>4647</v>
      </c>
      <c r="D991" s="13" t="s">
        <v>4648</v>
      </c>
      <c r="E991" s="14">
        <v>74021842</v>
      </c>
      <c r="F991" s="14">
        <v>3065</v>
      </c>
      <c r="G991" s="13" t="s">
        <v>27</v>
      </c>
      <c r="H991" s="13" t="s">
        <v>4649</v>
      </c>
      <c r="I991" s="13" t="s">
        <v>4650</v>
      </c>
      <c r="J991" s="14">
        <f>73012569625</f>
      </c>
      <c r="K991" s="14">
        <v>303</v>
      </c>
      <c r="L991" s="13" t="s">
        <v>508</v>
      </c>
      <c r="M991" s="14">
        <v>100000</v>
      </c>
      <c r="N991" s="13" t="s">
        <v>1755</v>
      </c>
      <c r="O991" s="13" t="s">
        <v>73</v>
      </c>
      <c r="P991" s="13" t="s">
        <v>3992</v>
      </c>
      <c r="Q991" s="14" t="s">
        <v>1742</v>
      </c>
      <c r="R991" s="13" t="s">
        <v>33</v>
      </c>
      <c r="S991" s="13" t="s">
        <v>47</v>
      </c>
      <c r="T991" s="15">
        <v>3</v>
      </c>
      <c r="U991" s="13"/>
      <c r="V991" s="15">
        <v>0</v>
      </c>
      <c r="W991" s="13" t="s">
        <v>48</v>
      </c>
      <c r="X991" s="15" t="s">
        <v>65</v>
      </c>
      <c r="Y991" s="13" t="s">
        <v>37</v>
      </c>
    </row>
    <row x14ac:dyDescent="0.25" r="992" customHeight="1" ht="18.75">
      <c r="A992" s="5">
        <v>74021844</v>
      </c>
      <c r="B992" s="6">
        <v>3067</v>
      </c>
      <c r="C992" s="7" t="s">
        <v>4651</v>
      </c>
      <c r="D992" s="7" t="s">
        <v>4652</v>
      </c>
      <c r="E992" s="8">
        <v>74021844</v>
      </c>
      <c r="F992" s="8">
        <v>3067</v>
      </c>
      <c r="G992" s="7" t="s">
        <v>27</v>
      </c>
      <c r="H992" s="7" t="s">
        <v>4653</v>
      </c>
      <c r="I992" s="7" t="s">
        <v>4654</v>
      </c>
      <c r="J992" s="8">
        <f>79250021547</f>
      </c>
      <c r="K992" s="9"/>
      <c r="L992" s="7" t="s">
        <v>544</v>
      </c>
      <c r="M992" s="8">
        <v>74</v>
      </c>
      <c r="N992" s="7" t="s">
        <v>545</v>
      </c>
      <c r="O992" s="7" t="s">
        <v>232</v>
      </c>
      <c r="P992" s="7" t="s">
        <v>4457</v>
      </c>
      <c r="Q992" s="8" t="s">
        <v>58</v>
      </c>
      <c r="R992" s="7" t="s">
        <v>33</v>
      </c>
      <c r="S992" s="7" t="s">
        <v>47</v>
      </c>
      <c r="T992" s="10">
        <v>3</v>
      </c>
      <c r="U992" s="7"/>
      <c r="V992" s="10">
        <v>0</v>
      </c>
      <c r="W992" s="7" t="s">
        <v>48</v>
      </c>
      <c r="X992" s="10" t="s">
        <v>712</v>
      </c>
      <c r="Y992" s="7" t="s">
        <v>37</v>
      </c>
    </row>
    <row x14ac:dyDescent="0.25" r="993" customHeight="1" ht="18.75">
      <c r="A993" s="11">
        <v>74021845</v>
      </c>
      <c r="B993" s="12">
        <v>3068</v>
      </c>
      <c r="C993" s="13" t="s">
        <v>4655</v>
      </c>
      <c r="D993" s="13" t="s">
        <v>4656</v>
      </c>
      <c r="E993" s="14">
        <v>74021845</v>
      </c>
      <c r="F993" s="14">
        <v>3068</v>
      </c>
      <c r="G993" s="13" t="s">
        <v>27</v>
      </c>
      <c r="H993" s="13" t="s">
        <v>4657</v>
      </c>
      <c r="I993" s="13" t="s">
        <v>4658</v>
      </c>
      <c r="J993" s="14">
        <f>79250021516</f>
      </c>
      <c r="K993" s="9"/>
      <c r="L993" s="13" t="s">
        <v>544</v>
      </c>
      <c r="M993" s="14">
        <v>74</v>
      </c>
      <c r="N993" s="13" t="s">
        <v>545</v>
      </c>
      <c r="O993" s="13" t="s">
        <v>32</v>
      </c>
      <c r="P993" s="13" t="s">
        <v>32</v>
      </c>
      <c r="Q993" s="14" t="s">
        <v>58</v>
      </c>
      <c r="R993" s="13" t="s">
        <v>33</v>
      </c>
      <c r="S993" s="13" t="s">
        <v>47</v>
      </c>
      <c r="T993" s="15">
        <v>3</v>
      </c>
      <c r="U993" s="13"/>
      <c r="V993" s="15">
        <v>0</v>
      </c>
      <c r="W993" s="13" t="s">
        <v>48</v>
      </c>
      <c r="X993" s="15" t="s">
        <v>712</v>
      </c>
      <c r="Y993" s="13" t="s">
        <v>37</v>
      </c>
    </row>
    <row x14ac:dyDescent="0.25" r="994" customHeight="1" ht="18.75">
      <c r="A994" s="5">
        <v>74321815</v>
      </c>
      <c r="B994" s="6">
        <v>3069</v>
      </c>
      <c r="C994" s="7" t="s">
        <v>4659</v>
      </c>
      <c r="D994" s="7" t="s">
        <v>4660</v>
      </c>
      <c r="E994" s="8">
        <v>74321815</v>
      </c>
      <c r="F994" s="8">
        <v>3069</v>
      </c>
      <c r="G994" s="7" t="s">
        <v>27</v>
      </c>
      <c r="H994" s="7" t="s">
        <v>4661</v>
      </c>
      <c r="I994" s="7" t="s">
        <v>4662</v>
      </c>
      <c r="J994" s="8">
        <f>74952408424</f>
      </c>
      <c r="K994" s="8">
        <v>6621</v>
      </c>
      <c r="L994" s="7" t="s">
        <v>1276</v>
      </c>
      <c r="M994" s="8">
        <v>105</v>
      </c>
      <c r="N994" s="7" t="s">
        <v>1277</v>
      </c>
      <c r="O994" s="7" t="s">
        <v>73</v>
      </c>
      <c r="P994" s="7" t="s">
        <v>3161</v>
      </c>
      <c r="Q994" s="8" t="s">
        <v>182</v>
      </c>
      <c r="R994" s="7" t="s">
        <v>33</v>
      </c>
      <c r="S994" s="7" t="s">
        <v>47</v>
      </c>
      <c r="T994" s="10">
        <v>3</v>
      </c>
      <c r="U994" s="7"/>
      <c r="V994" s="10">
        <v>0</v>
      </c>
      <c r="W994" s="7" t="s">
        <v>48</v>
      </c>
      <c r="X994" s="10" t="s">
        <v>36</v>
      </c>
      <c r="Y994" s="7" t="s">
        <v>59</v>
      </c>
    </row>
    <row x14ac:dyDescent="0.25" r="995" customHeight="1" ht="18.75">
      <c r="A995" s="11">
        <v>74021846</v>
      </c>
      <c r="B995" s="12">
        <v>3070</v>
      </c>
      <c r="C995" s="13" t="s">
        <v>4663</v>
      </c>
      <c r="D995" s="13" t="s">
        <v>4664</v>
      </c>
      <c r="E995" s="14">
        <v>74021846</v>
      </c>
      <c r="F995" s="14">
        <v>3070</v>
      </c>
      <c r="G995" s="13" t="s">
        <v>27</v>
      </c>
      <c r="H995" s="13" t="s">
        <v>4665</v>
      </c>
      <c r="I995" s="13" t="s">
        <v>4666</v>
      </c>
      <c r="J995" s="14">
        <f>79618023822</f>
      </c>
      <c r="K995" s="9"/>
      <c r="L995" s="13" t="s">
        <v>54</v>
      </c>
      <c r="M995" s="14">
        <v>188</v>
      </c>
      <c r="N995" s="13" t="s">
        <v>55</v>
      </c>
      <c r="O995" s="13" t="s">
        <v>56</v>
      </c>
      <c r="P995" s="13" t="s">
        <v>57</v>
      </c>
      <c r="Q995" s="14" t="s">
        <v>58</v>
      </c>
      <c r="R995" s="13" t="s">
        <v>33</v>
      </c>
      <c r="S995" s="13" t="s">
        <v>47</v>
      </c>
      <c r="T995" s="15">
        <v>3</v>
      </c>
      <c r="U995" s="13"/>
      <c r="V995" s="15">
        <v>0</v>
      </c>
      <c r="W995" s="13" t="s">
        <v>48</v>
      </c>
      <c r="X995" s="15" t="s">
        <v>36</v>
      </c>
      <c r="Y995" s="13" t="s">
        <v>37</v>
      </c>
    </row>
    <row x14ac:dyDescent="0.25" r="996" customHeight="1" ht="18.75">
      <c r="A996" s="5">
        <v>74021847</v>
      </c>
      <c r="B996" s="6">
        <v>3071</v>
      </c>
      <c r="C996" s="7" t="s">
        <v>4667</v>
      </c>
      <c r="D996" s="7" t="s">
        <v>4668</v>
      </c>
      <c r="E996" s="8">
        <v>74021847</v>
      </c>
      <c r="F996" s="8">
        <v>3071</v>
      </c>
      <c r="G996" s="7" t="s">
        <v>27</v>
      </c>
      <c r="H996" s="7" t="s">
        <v>4669</v>
      </c>
      <c r="I996" s="7" t="s">
        <v>4670</v>
      </c>
      <c r="J996" s="8">
        <f>79385447413</f>
      </c>
      <c r="K996" s="9"/>
      <c r="L996" s="7" t="s">
        <v>54</v>
      </c>
      <c r="M996" s="8">
        <v>188</v>
      </c>
      <c r="N996" s="7" t="s">
        <v>55</v>
      </c>
      <c r="O996" s="7" t="s">
        <v>119</v>
      </c>
      <c r="P996" s="7" t="s">
        <v>4671</v>
      </c>
      <c r="Q996" s="8" t="s">
        <v>1039</v>
      </c>
      <c r="R996" s="7" t="s">
        <v>33</v>
      </c>
      <c r="S996" s="7" t="s">
        <v>47</v>
      </c>
      <c r="T996" s="10">
        <v>3</v>
      </c>
      <c r="U996" s="7"/>
      <c r="V996" s="10">
        <v>0</v>
      </c>
      <c r="W996" s="7" t="s">
        <v>48</v>
      </c>
      <c r="X996" s="10" t="s">
        <v>36</v>
      </c>
      <c r="Y996" s="7" t="s">
        <v>126</v>
      </c>
    </row>
    <row x14ac:dyDescent="0.25" r="997" customHeight="1" ht="18.75">
      <c r="A997" s="11">
        <v>74321817</v>
      </c>
      <c r="B997" s="12">
        <v>3082</v>
      </c>
      <c r="C997" s="13" t="s">
        <v>4672</v>
      </c>
      <c r="D997" s="13" t="s">
        <v>4673</v>
      </c>
      <c r="E997" s="14">
        <v>74321817</v>
      </c>
      <c r="F997" s="14">
        <v>3082</v>
      </c>
      <c r="G997" s="13" t="s">
        <v>27</v>
      </c>
      <c r="H997" s="13" t="s">
        <v>4674</v>
      </c>
      <c r="I997" s="13" t="s">
        <v>4675</v>
      </c>
      <c r="J997" s="14">
        <f>74952408424</f>
      </c>
      <c r="K997" s="14">
        <v>6631</v>
      </c>
      <c r="L997" s="13" t="s">
        <v>1276</v>
      </c>
      <c r="M997" s="14">
        <v>105</v>
      </c>
      <c r="N997" s="13" t="s">
        <v>1277</v>
      </c>
      <c r="O997" s="13" t="s">
        <v>82</v>
      </c>
      <c r="P997" s="13" t="s">
        <v>268</v>
      </c>
      <c r="Q997" s="14" t="s">
        <v>58</v>
      </c>
      <c r="R997" s="13" t="s">
        <v>33</v>
      </c>
      <c r="S997" s="13" t="s">
        <v>47</v>
      </c>
      <c r="T997" s="15">
        <v>3</v>
      </c>
      <c r="U997" s="13"/>
      <c r="V997" s="15">
        <v>0</v>
      </c>
      <c r="W997" s="13" t="s">
        <v>48</v>
      </c>
      <c r="X997" s="15" t="s">
        <v>36</v>
      </c>
      <c r="Y997" s="13" t="s">
        <v>59</v>
      </c>
    </row>
    <row x14ac:dyDescent="0.25" r="998" customHeight="1" ht="18.75">
      <c r="A998" s="5">
        <v>74021851</v>
      </c>
      <c r="B998" s="6">
        <v>3092</v>
      </c>
      <c r="C998" s="7" t="s">
        <v>4676</v>
      </c>
      <c r="D998" s="7" t="s">
        <v>4677</v>
      </c>
      <c r="E998" s="8">
        <v>74021851</v>
      </c>
      <c r="F998" s="8">
        <v>3092</v>
      </c>
      <c r="G998" s="7" t="s">
        <v>27</v>
      </c>
      <c r="H998" s="7" t="s">
        <v>4678</v>
      </c>
      <c r="I998" s="7" t="s">
        <v>4679</v>
      </c>
      <c r="J998" s="8">
        <f>79624954881</f>
      </c>
      <c r="K998" s="9"/>
      <c r="L998" s="7" t="s">
        <v>117</v>
      </c>
      <c r="M998" s="8">
        <v>210</v>
      </c>
      <c r="N998" s="7" t="s">
        <v>118</v>
      </c>
      <c r="O998" s="7" t="s">
        <v>119</v>
      </c>
      <c r="P998" s="7" t="s">
        <v>963</v>
      </c>
      <c r="Q998" s="8" t="s">
        <v>58</v>
      </c>
      <c r="R998" s="7" t="s">
        <v>33</v>
      </c>
      <c r="S998" s="7" t="s">
        <v>47</v>
      </c>
      <c r="T998" s="10">
        <v>3</v>
      </c>
      <c r="U998" s="7" t="s">
        <v>35</v>
      </c>
      <c r="V998" s="10" t="s">
        <v>214</v>
      </c>
      <c r="W998" s="7" t="s">
        <v>48</v>
      </c>
      <c r="X998" s="10" t="s">
        <v>712</v>
      </c>
      <c r="Y998" s="7" t="s">
        <v>37</v>
      </c>
    </row>
    <row x14ac:dyDescent="0.25" r="999" customHeight="1" ht="18.75">
      <c r="A999" s="11">
        <v>74321818</v>
      </c>
      <c r="B999" s="12">
        <v>3111</v>
      </c>
      <c r="C999" s="13" t="s">
        <v>4680</v>
      </c>
      <c r="D999" s="13" t="s">
        <v>4681</v>
      </c>
      <c r="E999" s="14">
        <v>74321818</v>
      </c>
      <c r="F999" s="14">
        <v>3111</v>
      </c>
      <c r="G999" s="13" t="s">
        <v>27</v>
      </c>
      <c r="H999" s="13" t="s">
        <v>4682</v>
      </c>
      <c r="I999" s="13" t="s">
        <v>4683</v>
      </c>
      <c r="J999" s="14">
        <f>74952408424</f>
      </c>
      <c r="K999" s="14">
        <v>6630</v>
      </c>
      <c r="L999" s="13" t="s">
        <v>1276</v>
      </c>
      <c r="M999" s="14">
        <v>105</v>
      </c>
      <c r="N999" s="13" t="s">
        <v>1277</v>
      </c>
      <c r="O999" s="13" t="s">
        <v>73</v>
      </c>
      <c r="P999" s="13" t="s">
        <v>1532</v>
      </c>
      <c r="Q999" s="14" t="s">
        <v>1533</v>
      </c>
      <c r="R999" s="13" t="s">
        <v>33</v>
      </c>
      <c r="S999" s="13" t="s">
        <v>47</v>
      </c>
      <c r="T999" s="15">
        <v>3</v>
      </c>
      <c r="U999" s="13"/>
      <c r="V999" s="15">
        <v>0</v>
      </c>
      <c r="W999" s="13" t="s">
        <v>48</v>
      </c>
      <c r="X999" s="15" t="s">
        <v>65</v>
      </c>
      <c r="Y999" s="13" t="s">
        <v>84</v>
      </c>
    </row>
    <row x14ac:dyDescent="0.25" r="1000" customHeight="1" ht="18.75">
      <c r="A1000" s="5">
        <v>74021854</v>
      </c>
      <c r="B1000" s="6">
        <v>3112</v>
      </c>
      <c r="C1000" s="7" t="s">
        <v>4684</v>
      </c>
      <c r="D1000" s="7" t="s">
        <v>4685</v>
      </c>
      <c r="E1000" s="8">
        <v>74021854</v>
      </c>
      <c r="F1000" s="8">
        <v>3112</v>
      </c>
      <c r="G1000" s="7" t="s">
        <v>27</v>
      </c>
      <c r="H1000" s="7" t="s">
        <v>4686</v>
      </c>
      <c r="I1000" s="7" t="s">
        <v>4687</v>
      </c>
      <c r="J1000" s="8">
        <f>79147119001</f>
      </c>
      <c r="K1000" s="9"/>
      <c r="L1000" s="7" t="s">
        <v>721</v>
      </c>
      <c r="M1000" s="8">
        <v>115</v>
      </c>
      <c r="N1000" s="7" t="s">
        <v>1376</v>
      </c>
      <c r="O1000" s="7" t="s">
        <v>723</v>
      </c>
      <c r="P1000" s="7" t="s">
        <v>4136</v>
      </c>
      <c r="Q1000" s="8" t="s">
        <v>4688</v>
      </c>
      <c r="R1000" s="7" t="s">
        <v>33</v>
      </c>
      <c r="S1000" s="7" t="s">
        <v>47</v>
      </c>
      <c r="T1000" s="10">
        <v>3</v>
      </c>
      <c r="U1000" s="7"/>
      <c r="V1000" s="10">
        <v>0</v>
      </c>
      <c r="W1000" s="7" t="s">
        <v>48</v>
      </c>
      <c r="X1000" s="10" t="s">
        <v>712</v>
      </c>
      <c r="Y1000" s="7" t="s">
        <v>126</v>
      </c>
    </row>
    <row x14ac:dyDescent="0.25" r="1001" customHeight="1" ht="18.75">
      <c r="A1001" s="11">
        <v>74321819</v>
      </c>
      <c r="B1001" s="12">
        <v>3114</v>
      </c>
      <c r="C1001" s="13" t="s">
        <v>4689</v>
      </c>
      <c r="D1001" s="13" t="s">
        <v>4690</v>
      </c>
      <c r="E1001" s="14">
        <v>74321819</v>
      </c>
      <c r="F1001" s="14">
        <v>3114</v>
      </c>
      <c r="G1001" s="13" t="s">
        <v>27</v>
      </c>
      <c r="H1001" s="13" t="s">
        <v>4691</v>
      </c>
      <c r="I1001" s="13" t="s">
        <v>4692</v>
      </c>
      <c r="J1001" s="14">
        <f>74952408424</f>
      </c>
      <c r="K1001" s="14">
        <v>6628</v>
      </c>
      <c r="L1001" s="13" t="s">
        <v>1276</v>
      </c>
      <c r="M1001" s="14">
        <v>105</v>
      </c>
      <c r="N1001" s="13" t="s">
        <v>1277</v>
      </c>
      <c r="O1001" s="13" t="s">
        <v>96</v>
      </c>
      <c r="P1001" s="13" t="s">
        <v>181</v>
      </c>
      <c r="Q1001" s="14" t="s">
        <v>182</v>
      </c>
      <c r="R1001" s="13" t="s">
        <v>33</v>
      </c>
      <c r="S1001" s="13" t="s">
        <v>47</v>
      </c>
      <c r="T1001" s="15">
        <v>3</v>
      </c>
      <c r="U1001" s="13"/>
      <c r="V1001" s="15">
        <v>0</v>
      </c>
      <c r="W1001" s="13" t="s">
        <v>48</v>
      </c>
      <c r="X1001" s="15" t="s">
        <v>65</v>
      </c>
      <c r="Y1001" s="13" t="s">
        <v>66</v>
      </c>
    </row>
    <row x14ac:dyDescent="0.25" r="1002" customHeight="1" ht="18.75">
      <c r="A1002" s="5">
        <v>74321820</v>
      </c>
      <c r="B1002" s="6">
        <v>3115</v>
      </c>
      <c r="C1002" s="7" t="s">
        <v>4693</v>
      </c>
      <c r="D1002" s="7" t="s">
        <v>4694</v>
      </c>
      <c r="E1002" s="8">
        <v>74321820</v>
      </c>
      <c r="F1002" s="8">
        <v>3115</v>
      </c>
      <c r="G1002" s="7" t="s">
        <v>27</v>
      </c>
      <c r="H1002" s="7" t="s">
        <v>4695</v>
      </c>
      <c r="I1002" s="7" t="s">
        <v>4696</v>
      </c>
      <c r="J1002" s="8">
        <f>74952408424</f>
      </c>
      <c r="K1002" s="8">
        <v>6627</v>
      </c>
      <c r="L1002" s="7" t="s">
        <v>1276</v>
      </c>
      <c r="M1002" s="8">
        <v>105</v>
      </c>
      <c r="N1002" s="7" t="s">
        <v>1277</v>
      </c>
      <c r="O1002" s="7" t="s">
        <v>96</v>
      </c>
      <c r="P1002" s="7" t="s">
        <v>181</v>
      </c>
      <c r="Q1002" s="8" t="s">
        <v>182</v>
      </c>
      <c r="R1002" s="7" t="s">
        <v>33</v>
      </c>
      <c r="S1002" s="7" t="s">
        <v>47</v>
      </c>
      <c r="T1002" s="10">
        <v>3</v>
      </c>
      <c r="U1002" s="7"/>
      <c r="V1002" s="10">
        <v>0</v>
      </c>
      <c r="W1002" s="7" t="s">
        <v>48</v>
      </c>
      <c r="X1002" s="10" t="s">
        <v>65</v>
      </c>
      <c r="Y1002" s="7" t="s">
        <v>37</v>
      </c>
    </row>
    <row x14ac:dyDescent="0.25" r="1003" customHeight="1" ht="18.75">
      <c r="A1003" s="11">
        <v>74321821</v>
      </c>
      <c r="B1003" s="12">
        <v>3116</v>
      </c>
      <c r="C1003" s="13" t="s">
        <v>4697</v>
      </c>
      <c r="D1003" s="13" t="s">
        <v>4698</v>
      </c>
      <c r="E1003" s="14">
        <v>74321821</v>
      </c>
      <c r="F1003" s="14">
        <v>3116</v>
      </c>
      <c r="G1003" s="13" t="s">
        <v>27</v>
      </c>
      <c r="H1003" s="13" t="s">
        <v>4699</v>
      </c>
      <c r="I1003" s="13" t="s">
        <v>4700</v>
      </c>
      <c r="J1003" s="14">
        <f>74952408424</f>
      </c>
      <c r="K1003" s="14">
        <v>6629</v>
      </c>
      <c r="L1003" s="13" t="s">
        <v>1276</v>
      </c>
      <c r="M1003" s="14">
        <v>105</v>
      </c>
      <c r="N1003" s="13" t="s">
        <v>1277</v>
      </c>
      <c r="O1003" s="13" t="s">
        <v>73</v>
      </c>
      <c r="P1003" s="13" t="s">
        <v>2181</v>
      </c>
      <c r="Q1003" s="14" t="s">
        <v>182</v>
      </c>
      <c r="R1003" s="13" t="s">
        <v>33</v>
      </c>
      <c r="S1003" s="13" t="s">
        <v>47</v>
      </c>
      <c r="T1003" s="15">
        <v>4</v>
      </c>
      <c r="U1003" s="13"/>
      <c r="V1003" s="15">
        <v>0</v>
      </c>
      <c r="W1003" s="13" t="s">
        <v>48</v>
      </c>
      <c r="X1003" s="15" t="s">
        <v>36</v>
      </c>
      <c r="Y1003" s="13" t="s">
        <v>37</v>
      </c>
    </row>
    <row x14ac:dyDescent="0.25" r="1004" customHeight="1" ht="18.75">
      <c r="A1004" s="5">
        <v>74321822</v>
      </c>
      <c r="B1004" s="6">
        <v>3117</v>
      </c>
      <c r="C1004" s="7" t="s">
        <v>4701</v>
      </c>
      <c r="D1004" s="7" t="s">
        <v>4702</v>
      </c>
      <c r="E1004" s="8">
        <v>74321822</v>
      </c>
      <c r="F1004" s="8">
        <v>3117</v>
      </c>
      <c r="G1004" s="7" t="s">
        <v>27</v>
      </c>
      <c r="H1004" s="7" t="s">
        <v>4703</v>
      </c>
      <c r="I1004" s="7" t="s">
        <v>4704</v>
      </c>
      <c r="J1004" s="8">
        <f>74952408424</f>
      </c>
      <c r="K1004" s="8">
        <v>6625</v>
      </c>
      <c r="L1004" s="7" t="s">
        <v>1276</v>
      </c>
      <c r="M1004" s="8">
        <v>105</v>
      </c>
      <c r="N1004" s="7" t="s">
        <v>1277</v>
      </c>
      <c r="O1004" s="7" t="s">
        <v>510</v>
      </c>
      <c r="P1004" s="7" t="s">
        <v>4705</v>
      </c>
      <c r="Q1004" s="8" t="s">
        <v>1742</v>
      </c>
      <c r="R1004" s="7" t="s">
        <v>33</v>
      </c>
      <c r="S1004" s="7" t="s">
        <v>47</v>
      </c>
      <c r="T1004" s="10">
        <v>5</v>
      </c>
      <c r="U1004" s="7"/>
      <c r="V1004" s="10">
        <v>0</v>
      </c>
      <c r="W1004" s="7" t="s">
        <v>48</v>
      </c>
      <c r="X1004" s="10" t="s">
        <v>65</v>
      </c>
      <c r="Y1004" s="7" t="s">
        <v>37</v>
      </c>
    </row>
    <row x14ac:dyDescent="0.25" r="1005" customHeight="1" ht="18.75">
      <c r="A1005" s="11">
        <v>74021856</v>
      </c>
      <c r="B1005" s="12">
        <v>3118</v>
      </c>
      <c r="C1005" s="13" t="s">
        <v>4706</v>
      </c>
      <c r="D1005" s="13" t="s">
        <v>4707</v>
      </c>
      <c r="E1005" s="14">
        <v>74021856</v>
      </c>
      <c r="F1005" s="14">
        <v>3118</v>
      </c>
      <c r="G1005" s="13" t="s">
        <v>27</v>
      </c>
      <c r="H1005" s="13" t="s">
        <v>4708</v>
      </c>
      <c r="I1005" s="13" t="s">
        <v>4709</v>
      </c>
      <c r="J1005" s="14">
        <f>74950235635</f>
      </c>
      <c r="K1005" s="9"/>
      <c r="L1005" s="13" t="s">
        <v>1334</v>
      </c>
      <c r="M1005" s="14">
        <v>123</v>
      </c>
      <c r="N1005" s="13" t="s">
        <v>1335</v>
      </c>
      <c r="O1005" s="13" t="s">
        <v>32</v>
      </c>
      <c r="P1005" s="13" t="s">
        <v>32</v>
      </c>
      <c r="Q1005" s="14" t="s">
        <v>58</v>
      </c>
      <c r="R1005" s="13" t="s">
        <v>33</v>
      </c>
      <c r="S1005" s="13" t="s">
        <v>47</v>
      </c>
      <c r="T1005" s="15">
        <v>3</v>
      </c>
      <c r="U1005" s="13"/>
      <c r="V1005" s="15">
        <v>0</v>
      </c>
      <c r="W1005" s="13" t="s">
        <v>48</v>
      </c>
      <c r="X1005" s="15" t="s">
        <v>712</v>
      </c>
      <c r="Y1005" s="13" t="s">
        <v>59</v>
      </c>
    </row>
    <row x14ac:dyDescent="0.25" r="1006" customHeight="1" ht="18.75">
      <c r="A1006" s="5">
        <v>74021873</v>
      </c>
      <c r="B1006" s="6">
        <v>3122</v>
      </c>
      <c r="C1006" s="7" t="s">
        <v>4710</v>
      </c>
      <c r="D1006" s="7" t="s">
        <v>4711</v>
      </c>
      <c r="E1006" s="8">
        <v>74021873</v>
      </c>
      <c r="F1006" s="8">
        <v>3122</v>
      </c>
      <c r="G1006" s="7" t="s">
        <v>27</v>
      </c>
      <c r="H1006" s="7" t="s">
        <v>4712</v>
      </c>
      <c r="I1006" s="7" t="s">
        <v>4713</v>
      </c>
      <c r="J1006" s="8">
        <f>79250021548</f>
      </c>
      <c r="K1006" s="9"/>
      <c r="L1006" s="7" t="s">
        <v>544</v>
      </c>
      <c r="M1006" s="8">
        <v>74</v>
      </c>
      <c r="N1006" s="7" t="s">
        <v>545</v>
      </c>
      <c r="O1006" s="7" t="s">
        <v>232</v>
      </c>
      <c r="P1006" s="7" t="s">
        <v>4714</v>
      </c>
      <c r="Q1006" s="8" t="s">
        <v>58</v>
      </c>
      <c r="R1006" s="7" t="s">
        <v>33</v>
      </c>
      <c r="S1006" s="7" t="s">
        <v>47</v>
      </c>
      <c r="T1006" s="10">
        <v>3</v>
      </c>
      <c r="U1006" s="7"/>
      <c r="V1006" s="10">
        <v>0</v>
      </c>
      <c r="W1006" s="7" t="s">
        <v>48</v>
      </c>
      <c r="X1006" s="10" t="s">
        <v>712</v>
      </c>
      <c r="Y1006" s="7" t="s">
        <v>59</v>
      </c>
    </row>
    <row x14ac:dyDescent="0.25" r="1007" customHeight="1" ht="18.75">
      <c r="A1007" s="11">
        <v>74021857</v>
      </c>
      <c r="B1007" s="12">
        <v>3131</v>
      </c>
      <c r="C1007" s="13" t="s">
        <v>4715</v>
      </c>
      <c r="D1007" s="13" t="s">
        <v>4716</v>
      </c>
      <c r="E1007" s="14">
        <v>74021857</v>
      </c>
      <c r="F1007" s="14">
        <v>3131</v>
      </c>
      <c r="G1007" s="13" t="s">
        <v>27</v>
      </c>
      <c r="H1007" s="13" t="s">
        <v>4717</v>
      </c>
      <c r="I1007" s="13" t="s">
        <v>4718</v>
      </c>
      <c r="J1007" s="14">
        <f>74951066955</f>
      </c>
      <c r="K1007" s="9"/>
      <c r="L1007" s="13" t="s">
        <v>1334</v>
      </c>
      <c r="M1007" s="14">
        <v>123</v>
      </c>
      <c r="N1007" s="13" t="s">
        <v>1335</v>
      </c>
      <c r="O1007" s="13" t="s">
        <v>32</v>
      </c>
      <c r="P1007" s="13" t="s">
        <v>32</v>
      </c>
      <c r="Q1007" s="14" t="s">
        <v>58</v>
      </c>
      <c r="R1007" s="13" t="s">
        <v>33</v>
      </c>
      <c r="S1007" s="13" t="s">
        <v>47</v>
      </c>
      <c r="T1007" s="15">
        <v>3</v>
      </c>
      <c r="U1007" s="13"/>
      <c r="V1007" s="15">
        <v>0</v>
      </c>
      <c r="W1007" s="13" t="s">
        <v>48</v>
      </c>
      <c r="X1007" s="15" t="s">
        <v>65</v>
      </c>
      <c r="Y1007" s="13" t="s">
        <v>84</v>
      </c>
    </row>
    <row x14ac:dyDescent="0.25" r="1008" customHeight="1" ht="18.75">
      <c r="A1008" s="5">
        <v>74021858</v>
      </c>
      <c r="B1008" s="6">
        <v>3132</v>
      </c>
      <c r="C1008" s="7" t="s">
        <v>4719</v>
      </c>
      <c r="D1008" s="7" t="s">
        <v>4720</v>
      </c>
      <c r="E1008" s="8">
        <v>74021858</v>
      </c>
      <c r="F1008" s="8">
        <v>3132</v>
      </c>
      <c r="G1008" s="7" t="s">
        <v>27</v>
      </c>
      <c r="H1008" s="7" t="s">
        <v>4721</v>
      </c>
      <c r="I1008" s="7" t="s">
        <v>4722</v>
      </c>
      <c r="J1008" s="7" t="s">
        <v>467</v>
      </c>
      <c r="K1008" s="9"/>
      <c r="L1008" s="7" t="s">
        <v>544</v>
      </c>
      <c r="M1008" s="8">
        <v>74</v>
      </c>
      <c r="N1008" s="7" t="s">
        <v>545</v>
      </c>
      <c r="O1008" s="7" t="s">
        <v>32</v>
      </c>
      <c r="P1008" s="7" t="s">
        <v>32</v>
      </c>
      <c r="Q1008" s="8" t="s">
        <v>58</v>
      </c>
      <c r="R1008" s="7" t="s">
        <v>33</v>
      </c>
      <c r="S1008" s="7" t="s">
        <v>47</v>
      </c>
      <c r="T1008" s="10">
        <v>3</v>
      </c>
      <c r="U1008" s="7"/>
      <c r="V1008" s="10">
        <v>0</v>
      </c>
      <c r="W1008" s="7" t="s">
        <v>48</v>
      </c>
      <c r="X1008" s="10" t="s">
        <v>36</v>
      </c>
      <c r="Y1008" s="7" t="s">
        <v>37</v>
      </c>
    </row>
    <row x14ac:dyDescent="0.25" r="1009" customHeight="1" ht="18.75">
      <c r="A1009" s="11">
        <v>74021859</v>
      </c>
      <c r="B1009" s="12">
        <v>3144</v>
      </c>
      <c r="C1009" s="13" t="s">
        <v>4723</v>
      </c>
      <c r="D1009" s="13" t="s">
        <v>4724</v>
      </c>
      <c r="E1009" s="14">
        <v>74021859</v>
      </c>
      <c r="F1009" s="14">
        <v>3144</v>
      </c>
      <c r="G1009" s="13" t="s">
        <v>27</v>
      </c>
      <c r="H1009" s="13" t="s">
        <v>4725</v>
      </c>
      <c r="I1009" s="13" t="s">
        <v>4726</v>
      </c>
      <c r="J1009" s="13" t="s">
        <v>467</v>
      </c>
      <c r="K1009" s="9"/>
      <c r="L1009" s="13" t="s">
        <v>544</v>
      </c>
      <c r="M1009" s="14">
        <v>74</v>
      </c>
      <c r="N1009" s="13" t="s">
        <v>545</v>
      </c>
      <c r="O1009" s="13" t="s">
        <v>232</v>
      </c>
      <c r="P1009" s="13" t="s">
        <v>4727</v>
      </c>
      <c r="Q1009" s="14" t="s">
        <v>112</v>
      </c>
      <c r="R1009" s="13" t="s">
        <v>33</v>
      </c>
      <c r="S1009" s="13" t="s">
        <v>47</v>
      </c>
      <c r="T1009" s="15">
        <v>3</v>
      </c>
      <c r="U1009" s="13"/>
      <c r="V1009" s="15">
        <v>0</v>
      </c>
      <c r="W1009" s="13" t="s">
        <v>48</v>
      </c>
      <c r="X1009" s="15" t="s">
        <v>712</v>
      </c>
      <c r="Y1009" s="13" t="s">
        <v>37</v>
      </c>
    </row>
    <row x14ac:dyDescent="0.25" r="1010" customHeight="1" ht="18.75">
      <c r="A1010" s="5">
        <v>74321823</v>
      </c>
      <c r="B1010" s="6">
        <v>3151</v>
      </c>
      <c r="C1010" s="7" t="s">
        <v>4728</v>
      </c>
      <c r="D1010" s="7" t="s">
        <v>4729</v>
      </c>
      <c r="E1010" s="8">
        <v>74321823</v>
      </c>
      <c r="F1010" s="8">
        <v>3151</v>
      </c>
      <c r="G1010" s="7" t="s">
        <v>27</v>
      </c>
      <c r="H1010" s="7" t="s">
        <v>4730</v>
      </c>
      <c r="I1010" s="7" t="s">
        <v>4731</v>
      </c>
      <c r="J1010" s="8">
        <f>74952408424</f>
      </c>
      <c r="K1010" s="8">
        <v>6626</v>
      </c>
      <c r="L1010" s="7" t="s">
        <v>1276</v>
      </c>
      <c r="M1010" s="8">
        <v>105</v>
      </c>
      <c r="N1010" s="7" t="s">
        <v>1277</v>
      </c>
      <c r="O1010" s="7" t="s">
        <v>44</v>
      </c>
      <c r="P1010" s="7" t="s">
        <v>4732</v>
      </c>
      <c r="Q1010" s="8" t="s">
        <v>58</v>
      </c>
      <c r="R1010" s="7" t="s">
        <v>33</v>
      </c>
      <c r="S1010" s="7" t="s">
        <v>4733</v>
      </c>
      <c r="T1010" s="10">
        <v>2</v>
      </c>
      <c r="U1010" s="7"/>
      <c r="V1010" s="10">
        <v>0</v>
      </c>
      <c r="W1010" s="7" t="s">
        <v>48</v>
      </c>
      <c r="X1010" s="10" t="s">
        <v>65</v>
      </c>
      <c r="Y1010" s="7" t="s">
        <v>59</v>
      </c>
    </row>
    <row x14ac:dyDescent="0.25" r="1011" customHeight="1" ht="18.75">
      <c r="A1011" s="11">
        <v>74021862</v>
      </c>
      <c r="B1011" s="12">
        <v>3172</v>
      </c>
      <c r="C1011" s="13" t="s">
        <v>4734</v>
      </c>
      <c r="D1011" s="13" t="s">
        <v>4735</v>
      </c>
      <c r="E1011" s="14">
        <v>74021862</v>
      </c>
      <c r="F1011" s="14">
        <v>3172</v>
      </c>
      <c r="G1011" s="13" t="s">
        <v>27</v>
      </c>
      <c r="H1011" s="13" t="s">
        <v>4736</v>
      </c>
      <c r="I1011" s="13" t="s">
        <v>4737</v>
      </c>
      <c r="J1011" s="14">
        <f>79218975211</f>
      </c>
      <c r="K1011" s="9"/>
      <c r="L1011" s="13" t="s">
        <v>54</v>
      </c>
      <c r="M1011" s="14">
        <v>188</v>
      </c>
      <c r="N1011" s="13" t="s">
        <v>55</v>
      </c>
      <c r="O1011" s="13" t="s">
        <v>56</v>
      </c>
      <c r="P1011" s="13" t="s">
        <v>57</v>
      </c>
      <c r="Q1011" s="14" t="s">
        <v>58</v>
      </c>
      <c r="R1011" s="13" t="s">
        <v>33</v>
      </c>
      <c r="S1011" s="13" t="s">
        <v>47</v>
      </c>
      <c r="T1011" s="15">
        <v>3</v>
      </c>
      <c r="U1011" s="13"/>
      <c r="V1011" s="15">
        <v>0</v>
      </c>
      <c r="W1011" s="13" t="s">
        <v>48</v>
      </c>
      <c r="X1011" s="15" t="s">
        <v>36</v>
      </c>
      <c r="Y1011" s="13" t="s">
        <v>37</v>
      </c>
    </row>
    <row x14ac:dyDescent="0.25" r="1012" customHeight="1" ht="18.75">
      <c r="A1012" s="5">
        <v>74021863</v>
      </c>
      <c r="B1012" s="6">
        <v>3173</v>
      </c>
      <c r="C1012" s="7" t="s">
        <v>4738</v>
      </c>
      <c r="D1012" s="7" t="s">
        <v>4739</v>
      </c>
      <c r="E1012" s="8">
        <v>74021863</v>
      </c>
      <c r="F1012" s="8">
        <v>3173</v>
      </c>
      <c r="G1012" s="7" t="s">
        <v>27</v>
      </c>
      <c r="H1012" s="7" t="s">
        <v>4740</v>
      </c>
      <c r="I1012" s="7" t="s">
        <v>4741</v>
      </c>
      <c r="J1012" s="8">
        <f>79030943428</f>
      </c>
      <c r="K1012" s="9"/>
      <c r="L1012" s="7" t="s">
        <v>54</v>
      </c>
      <c r="M1012" s="8">
        <v>188</v>
      </c>
      <c r="N1012" s="7" t="s">
        <v>55</v>
      </c>
      <c r="O1012" s="7" t="s">
        <v>56</v>
      </c>
      <c r="P1012" s="7" t="s">
        <v>57</v>
      </c>
      <c r="Q1012" s="8" t="s">
        <v>58</v>
      </c>
      <c r="R1012" s="7" t="s">
        <v>33</v>
      </c>
      <c r="S1012" s="7" t="s">
        <v>47</v>
      </c>
      <c r="T1012" s="10">
        <v>3</v>
      </c>
      <c r="U1012" s="7"/>
      <c r="V1012" s="10">
        <v>0</v>
      </c>
      <c r="W1012" s="7" t="s">
        <v>48</v>
      </c>
      <c r="X1012" s="10" t="s">
        <v>36</v>
      </c>
      <c r="Y1012" s="7" t="s">
        <v>37</v>
      </c>
    </row>
    <row x14ac:dyDescent="0.25" r="1013" customHeight="1" ht="18.75">
      <c r="A1013" s="11">
        <v>74021865</v>
      </c>
      <c r="B1013" s="12">
        <v>3192</v>
      </c>
      <c r="C1013" s="13" t="s">
        <v>4742</v>
      </c>
      <c r="D1013" s="13" t="s">
        <v>4743</v>
      </c>
      <c r="E1013" s="14">
        <v>74021865</v>
      </c>
      <c r="F1013" s="14">
        <v>3192</v>
      </c>
      <c r="G1013" s="13" t="s">
        <v>27</v>
      </c>
      <c r="H1013" s="13" t="s">
        <v>4744</v>
      </c>
      <c r="I1013" s="13" t="s">
        <v>4745</v>
      </c>
      <c r="J1013" s="14">
        <f>79299195960</f>
      </c>
      <c r="K1013" s="9"/>
      <c r="L1013" s="13" t="s">
        <v>544</v>
      </c>
      <c r="M1013" s="14">
        <v>74</v>
      </c>
      <c r="N1013" s="13" t="s">
        <v>545</v>
      </c>
      <c r="O1013" s="13" t="s">
        <v>232</v>
      </c>
      <c r="P1013" s="13" t="s">
        <v>1371</v>
      </c>
      <c r="Q1013" s="14" t="s">
        <v>4746</v>
      </c>
      <c r="R1013" s="13" t="s">
        <v>33</v>
      </c>
      <c r="S1013" s="13" t="s">
        <v>47</v>
      </c>
      <c r="T1013" s="15">
        <v>3</v>
      </c>
      <c r="U1013" s="13"/>
      <c r="V1013" s="15">
        <v>0</v>
      </c>
      <c r="W1013" s="13" t="s">
        <v>48</v>
      </c>
      <c r="X1013" s="15" t="s">
        <v>712</v>
      </c>
      <c r="Y1013" s="13" t="s">
        <v>126</v>
      </c>
    </row>
    <row x14ac:dyDescent="0.25" r="1014" customHeight="1" ht="18.75">
      <c r="A1014" s="5">
        <v>74021866</v>
      </c>
      <c r="B1014" s="6">
        <v>3201</v>
      </c>
      <c r="C1014" s="7" t="s">
        <v>4747</v>
      </c>
      <c r="D1014" s="7" t="s">
        <v>4748</v>
      </c>
      <c r="E1014" s="8">
        <v>74021866</v>
      </c>
      <c r="F1014" s="8">
        <v>3201</v>
      </c>
      <c r="G1014" s="7" t="s">
        <v>27</v>
      </c>
      <c r="H1014" s="7" t="s">
        <v>4749</v>
      </c>
      <c r="I1014" s="7" t="s">
        <v>4750</v>
      </c>
      <c r="J1014" s="8">
        <f>73472465100</f>
      </c>
      <c r="K1014" s="8">
        <v>1033</v>
      </c>
      <c r="L1014" s="7" t="s">
        <v>94</v>
      </c>
      <c r="M1014" s="8">
        <v>100281</v>
      </c>
      <c r="N1014" s="7" t="s">
        <v>4751</v>
      </c>
      <c r="O1014" s="7" t="s">
        <v>96</v>
      </c>
      <c r="P1014" s="7" t="s">
        <v>165</v>
      </c>
      <c r="Q1014" s="8" t="s">
        <v>4752</v>
      </c>
      <c r="R1014" s="7" t="s">
        <v>33</v>
      </c>
      <c r="S1014" s="7" t="s">
        <v>47</v>
      </c>
      <c r="T1014" s="10">
        <v>3</v>
      </c>
      <c r="U1014" s="7"/>
      <c r="V1014" s="10">
        <v>0</v>
      </c>
      <c r="W1014" s="7" t="s">
        <v>48</v>
      </c>
      <c r="X1014" s="10" t="s">
        <v>36</v>
      </c>
      <c r="Y1014" s="7" t="s">
        <v>59</v>
      </c>
    </row>
    <row x14ac:dyDescent="0.25" r="1015" customHeight="1" ht="18.75">
      <c r="A1015" s="11">
        <v>74021867</v>
      </c>
      <c r="B1015" s="12">
        <v>3211</v>
      </c>
      <c r="C1015" s="13" t="s">
        <v>4753</v>
      </c>
      <c r="D1015" s="13" t="s">
        <v>4754</v>
      </c>
      <c r="E1015" s="14">
        <v>74021867</v>
      </c>
      <c r="F1015" s="14">
        <v>3211</v>
      </c>
      <c r="G1015" s="13" t="s">
        <v>27</v>
      </c>
      <c r="H1015" s="13" t="s">
        <v>4755</v>
      </c>
      <c r="I1015" s="13" t="s">
        <v>4756</v>
      </c>
      <c r="J1015" s="14">
        <f>78453232311</f>
      </c>
      <c r="K1015" s="9"/>
      <c r="L1015" s="13" t="s">
        <v>327</v>
      </c>
      <c r="M1015" s="14">
        <v>100623</v>
      </c>
      <c r="N1015" s="13" t="s">
        <v>328</v>
      </c>
      <c r="O1015" s="13" t="s">
        <v>44</v>
      </c>
      <c r="P1015" s="13" t="s">
        <v>4757</v>
      </c>
      <c r="Q1015" s="14" t="s">
        <v>4758</v>
      </c>
      <c r="R1015" s="13" t="s">
        <v>33</v>
      </c>
      <c r="S1015" s="13" t="s">
        <v>47</v>
      </c>
      <c r="T1015" s="15">
        <v>3</v>
      </c>
      <c r="U1015" s="13"/>
      <c r="V1015" s="15">
        <v>0</v>
      </c>
      <c r="W1015" s="13" t="s">
        <v>48</v>
      </c>
      <c r="X1015" s="15" t="s">
        <v>36</v>
      </c>
      <c r="Y1015" s="13" t="s">
        <v>37</v>
      </c>
    </row>
    <row x14ac:dyDescent="0.25" r="1016" customHeight="1" ht="18.75">
      <c r="A1016" s="5">
        <v>74321824</v>
      </c>
      <c r="B1016" s="6">
        <v>3231</v>
      </c>
      <c r="C1016" s="7" t="s">
        <v>4759</v>
      </c>
      <c r="D1016" s="7" t="s">
        <v>4760</v>
      </c>
      <c r="E1016" s="8">
        <v>74321824</v>
      </c>
      <c r="F1016" s="8">
        <v>3231</v>
      </c>
      <c r="G1016" s="7" t="s">
        <v>27</v>
      </c>
      <c r="H1016" s="7" t="s">
        <v>4761</v>
      </c>
      <c r="I1016" s="7" t="s">
        <v>4762</v>
      </c>
      <c r="J1016" s="8">
        <f>74952408424</f>
      </c>
      <c r="K1016" s="8">
        <v>6632</v>
      </c>
      <c r="L1016" s="7" t="s">
        <v>1276</v>
      </c>
      <c r="M1016" s="8">
        <v>105</v>
      </c>
      <c r="N1016" s="7" t="s">
        <v>1277</v>
      </c>
      <c r="O1016" s="7" t="s">
        <v>73</v>
      </c>
      <c r="P1016" s="7" t="s">
        <v>1532</v>
      </c>
      <c r="Q1016" s="8" t="s">
        <v>1533</v>
      </c>
      <c r="R1016" s="7" t="s">
        <v>33</v>
      </c>
      <c r="S1016" s="7" t="s">
        <v>47</v>
      </c>
      <c r="T1016" s="10">
        <v>2</v>
      </c>
      <c r="U1016" s="7"/>
      <c r="V1016" s="10">
        <v>0</v>
      </c>
      <c r="W1016" s="7" t="s">
        <v>48</v>
      </c>
      <c r="X1016" s="10" t="s">
        <v>65</v>
      </c>
      <c r="Y1016" s="7" t="s">
        <v>84</v>
      </c>
    </row>
    <row x14ac:dyDescent="0.25" r="1017" customHeight="1" ht="18.75">
      <c r="A1017" s="11">
        <v>74321826</v>
      </c>
      <c r="B1017" s="12">
        <v>3233</v>
      </c>
      <c r="C1017" s="13" t="s">
        <v>4763</v>
      </c>
      <c r="D1017" s="13" t="s">
        <v>4764</v>
      </c>
      <c r="E1017" s="14">
        <v>74321826</v>
      </c>
      <c r="F1017" s="14">
        <v>3233</v>
      </c>
      <c r="G1017" s="13" t="s">
        <v>27</v>
      </c>
      <c r="H1017" s="13" t="s">
        <v>4765</v>
      </c>
      <c r="I1017" s="13" t="s">
        <v>4766</v>
      </c>
      <c r="J1017" s="14">
        <f>74952408424</f>
      </c>
      <c r="K1017" s="14">
        <v>6633</v>
      </c>
      <c r="L1017" s="13" t="s">
        <v>1276</v>
      </c>
      <c r="M1017" s="14">
        <v>105</v>
      </c>
      <c r="N1017" s="13" t="s">
        <v>1277</v>
      </c>
      <c r="O1017" s="13" t="s">
        <v>73</v>
      </c>
      <c r="P1017" s="13" t="s">
        <v>4767</v>
      </c>
      <c r="Q1017" s="14" t="s">
        <v>1742</v>
      </c>
      <c r="R1017" s="13" t="s">
        <v>33</v>
      </c>
      <c r="S1017" s="13" t="s">
        <v>47</v>
      </c>
      <c r="T1017" s="15">
        <v>3</v>
      </c>
      <c r="U1017" s="13"/>
      <c r="V1017" s="15">
        <v>0</v>
      </c>
      <c r="W1017" s="13" t="s">
        <v>48</v>
      </c>
      <c r="X1017" s="15" t="s">
        <v>36</v>
      </c>
      <c r="Y1017" s="13" t="s">
        <v>37</v>
      </c>
    </row>
    <row x14ac:dyDescent="0.25" r="1018" customHeight="1" ht="18.75">
      <c r="A1018" s="5">
        <v>74021875</v>
      </c>
      <c r="B1018" s="6">
        <v>3261</v>
      </c>
      <c r="C1018" s="7" t="s">
        <v>4768</v>
      </c>
      <c r="D1018" s="7" t="s">
        <v>4769</v>
      </c>
      <c r="E1018" s="8">
        <v>74021875</v>
      </c>
      <c r="F1018" s="8">
        <v>3261</v>
      </c>
      <c r="G1018" s="7" t="s">
        <v>27</v>
      </c>
      <c r="H1018" s="7" t="s">
        <v>4770</v>
      </c>
      <c r="I1018" s="7" t="s">
        <v>4771</v>
      </c>
      <c r="J1018" s="8">
        <f>78412235888</f>
      </c>
      <c r="K1018" s="8">
        <v>0</v>
      </c>
      <c r="L1018" s="7" t="s">
        <v>146</v>
      </c>
      <c r="M1018" s="8">
        <v>53</v>
      </c>
      <c r="N1018" s="7" t="s">
        <v>147</v>
      </c>
      <c r="O1018" s="7" t="s">
        <v>44</v>
      </c>
      <c r="P1018" s="7" t="s">
        <v>4772</v>
      </c>
      <c r="Q1018" s="8" t="s">
        <v>4773</v>
      </c>
      <c r="R1018" s="7" t="s">
        <v>33</v>
      </c>
      <c r="S1018" s="7" t="s">
        <v>47</v>
      </c>
      <c r="T1018" s="10">
        <v>3</v>
      </c>
      <c r="U1018" s="7"/>
      <c r="V1018" s="10">
        <v>0</v>
      </c>
      <c r="W1018" s="7" t="s">
        <v>48</v>
      </c>
      <c r="X1018" s="10" t="s">
        <v>36</v>
      </c>
      <c r="Y1018" s="7" t="s">
        <v>37</v>
      </c>
    </row>
    <row x14ac:dyDescent="0.25" r="1019" customHeight="1" ht="18.75">
      <c r="A1019" s="11">
        <v>74021878</v>
      </c>
      <c r="B1019" s="12">
        <v>3264</v>
      </c>
      <c r="C1019" s="13" t="s">
        <v>4774</v>
      </c>
      <c r="D1019" s="13" t="s">
        <v>4775</v>
      </c>
      <c r="E1019" s="14">
        <v>74021878</v>
      </c>
      <c r="F1019" s="14">
        <v>3264</v>
      </c>
      <c r="G1019" s="13" t="s">
        <v>27</v>
      </c>
      <c r="H1019" s="13" t="s">
        <v>4776</v>
      </c>
      <c r="I1019" s="13" t="s">
        <v>4777</v>
      </c>
      <c r="J1019" s="14">
        <f>73022733100</f>
      </c>
      <c r="K1019" s="9"/>
      <c r="L1019" s="13" t="s">
        <v>508</v>
      </c>
      <c r="M1019" s="14">
        <v>100311</v>
      </c>
      <c r="N1019" s="13" t="s">
        <v>4778</v>
      </c>
      <c r="O1019" s="13" t="s">
        <v>73</v>
      </c>
      <c r="P1019" s="13" t="s">
        <v>4779</v>
      </c>
      <c r="Q1019" s="14" t="s">
        <v>1742</v>
      </c>
      <c r="R1019" s="13" t="s">
        <v>33</v>
      </c>
      <c r="S1019" s="13" t="s">
        <v>47</v>
      </c>
      <c r="T1019" s="15">
        <v>3</v>
      </c>
      <c r="U1019" s="13"/>
      <c r="V1019" s="15">
        <v>0</v>
      </c>
      <c r="W1019" s="13" t="s">
        <v>48</v>
      </c>
      <c r="X1019" s="15" t="s">
        <v>65</v>
      </c>
      <c r="Y1019" s="13" t="s">
        <v>59</v>
      </c>
    </row>
    <row x14ac:dyDescent="0.25" r="1020" customHeight="1" ht="18.75">
      <c r="A1020" s="5">
        <v>74021879</v>
      </c>
      <c r="B1020" s="6">
        <v>3265</v>
      </c>
      <c r="C1020" s="7" t="s">
        <v>4780</v>
      </c>
      <c r="D1020" s="7" t="s">
        <v>4781</v>
      </c>
      <c r="E1020" s="8">
        <v>74021879</v>
      </c>
      <c r="F1020" s="8">
        <v>3265</v>
      </c>
      <c r="G1020" s="7" t="s">
        <v>27</v>
      </c>
      <c r="H1020" s="7" t="s">
        <v>4782</v>
      </c>
      <c r="I1020" s="7" t="s">
        <v>4783</v>
      </c>
      <c r="J1020" s="8">
        <f>73022733100</f>
      </c>
      <c r="K1020" s="9"/>
      <c r="L1020" s="7" t="s">
        <v>508</v>
      </c>
      <c r="M1020" s="8">
        <v>100311</v>
      </c>
      <c r="N1020" s="7" t="s">
        <v>4778</v>
      </c>
      <c r="O1020" s="7" t="s">
        <v>73</v>
      </c>
      <c r="P1020" s="7" t="s">
        <v>4779</v>
      </c>
      <c r="Q1020" s="8" t="s">
        <v>1742</v>
      </c>
      <c r="R1020" s="7" t="s">
        <v>33</v>
      </c>
      <c r="S1020" s="7" t="s">
        <v>47</v>
      </c>
      <c r="T1020" s="10">
        <v>3</v>
      </c>
      <c r="U1020" s="7"/>
      <c r="V1020" s="10">
        <v>0</v>
      </c>
      <c r="W1020" s="7" t="s">
        <v>48</v>
      </c>
      <c r="X1020" s="10" t="s">
        <v>65</v>
      </c>
      <c r="Y1020" s="7" t="s">
        <v>59</v>
      </c>
    </row>
    <row x14ac:dyDescent="0.25" r="1021" customHeight="1" ht="18.75">
      <c r="A1021" s="11">
        <v>74021880</v>
      </c>
      <c r="B1021" s="12">
        <v>3266</v>
      </c>
      <c r="C1021" s="13" t="s">
        <v>4784</v>
      </c>
      <c r="D1021" s="13" t="s">
        <v>4785</v>
      </c>
      <c r="E1021" s="14">
        <v>74021880</v>
      </c>
      <c r="F1021" s="14">
        <v>3266</v>
      </c>
      <c r="G1021" s="13" t="s">
        <v>27</v>
      </c>
      <c r="H1021" s="13" t="s">
        <v>4786</v>
      </c>
      <c r="I1021" s="13" t="s">
        <v>4787</v>
      </c>
      <c r="J1021" s="14">
        <f>79220916155</f>
      </c>
      <c r="K1021" s="9"/>
      <c r="L1021" s="13" t="s">
        <v>508</v>
      </c>
      <c r="M1021" s="14">
        <v>100312</v>
      </c>
      <c r="N1021" s="13" t="s">
        <v>509</v>
      </c>
      <c r="O1021" s="13" t="s">
        <v>510</v>
      </c>
      <c r="P1021" s="13" t="s">
        <v>4788</v>
      </c>
      <c r="Q1021" s="14" t="s">
        <v>4785</v>
      </c>
      <c r="R1021" s="13" t="s">
        <v>33</v>
      </c>
      <c r="S1021" s="13" t="s">
        <v>47</v>
      </c>
      <c r="T1021" s="15">
        <v>4</v>
      </c>
      <c r="U1021" s="13"/>
      <c r="V1021" s="15">
        <v>0</v>
      </c>
      <c r="W1021" s="13" t="s">
        <v>48</v>
      </c>
      <c r="X1021" s="15" t="s">
        <v>36</v>
      </c>
      <c r="Y1021" s="13" t="s">
        <v>37</v>
      </c>
    </row>
    <row x14ac:dyDescent="0.25" r="1022" customHeight="1" ht="18.75">
      <c r="A1022" s="5">
        <v>74021887</v>
      </c>
      <c r="B1022" s="6">
        <v>3285</v>
      </c>
      <c r="C1022" s="7" t="s">
        <v>4789</v>
      </c>
      <c r="D1022" s="7" t="s">
        <v>4790</v>
      </c>
      <c r="E1022" s="8">
        <v>74021887</v>
      </c>
      <c r="F1022" s="8">
        <v>3285</v>
      </c>
      <c r="G1022" s="7" t="s">
        <v>27</v>
      </c>
      <c r="H1022" s="7" t="s">
        <v>4791</v>
      </c>
      <c r="I1022" s="7" t="s">
        <v>4792</v>
      </c>
      <c r="J1022" s="8">
        <f>79250119256</f>
      </c>
      <c r="K1022" s="9"/>
      <c r="L1022" s="7" t="s">
        <v>544</v>
      </c>
      <c r="M1022" s="8">
        <v>74</v>
      </c>
      <c r="N1022" s="7" t="s">
        <v>545</v>
      </c>
      <c r="O1022" s="7" t="s">
        <v>232</v>
      </c>
      <c r="P1022" s="7" t="s">
        <v>4793</v>
      </c>
      <c r="Q1022" s="8" t="s">
        <v>4794</v>
      </c>
      <c r="R1022" s="7" t="s">
        <v>33</v>
      </c>
      <c r="S1022" s="7" t="s">
        <v>47</v>
      </c>
      <c r="T1022" s="10">
        <v>3</v>
      </c>
      <c r="U1022" s="7"/>
      <c r="V1022" s="10">
        <v>0</v>
      </c>
      <c r="W1022" s="7" t="s">
        <v>48</v>
      </c>
      <c r="X1022" s="10" t="s">
        <v>712</v>
      </c>
      <c r="Y1022" s="7" t="s">
        <v>126</v>
      </c>
    </row>
    <row x14ac:dyDescent="0.25" r="1023" customHeight="1" ht="18.75">
      <c r="A1023" s="11">
        <v>74021888</v>
      </c>
      <c r="B1023" s="12">
        <v>3286</v>
      </c>
      <c r="C1023" s="13" t="s">
        <v>4795</v>
      </c>
      <c r="D1023" s="13" t="s">
        <v>4796</v>
      </c>
      <c r="E1023" s="14">
        <v>74021888</v>
      </c>
      <c r="F1023" s="14">
        <v>3286</v>
      </c>
      <c r="G1023" s="13" t="s">
        <v>27</v>
      </c>
      <c r="H1023" s="13" t="s">
        <v>4797</v>
      </c>
      <c r="I1023" s="13" t="s">
        <v>4798</v>
      </c>
      <c r="J1023" s="14">
        <f>79267911379</f>
      </c>
      <c r="K1023" s="9"/>
      <c r="L1023" s="13" t="s">
        <v>544</v>
      </c>
      <c r="M1023" s="14">
        <v>74</v>
      </c>
      <c r="N1023" s="13" t="s">
        <v>545</v>
      </c>
      <c r="O1023" s="13" t="s">
        <v>232</v>
      </c>
      <c r="P1023" s="13" t="s">
        <v>1355</v>
      </c>
      <c r="Q1023" s="14" t="s">
        <v>58</v>
      </c>
      <c r="R1023" s="13" t="s">
        <v>33</v>
      </c>
      <c r="S1023" s="13" t="s">
        <v>47</v>
      </c>
      <c r="T1023" s="15">
        <v>4</v>
      </c>
      <c r="U1023" s="13"/>
      <c r="V1023" s="15">
        <v>0</v>
      </c>
      <c r="W1023" s="13" t="s">
        <v>48</v>
      </c>
      <c r="X1023" s="15" t="s">
        <v>895</v>
      </c>
      <c r="Y1023" s="13" t="s">
        <v>37</v>
      </c>
    </row>
    <row x14ac:dyDescent="0.25" r="1024" customHeight="1" ht="18.75">
      <c r="A1024" s="5">
        <v>74021889</v>
      </c>
      <c r="B1024" s="6">
        <v>3287</v>
      </c>
      <c r="C1024" s="7" t="s">
        <v>4799</v>
      </c>
      <c r="D1024" s="7" t="s">
        <v>4800</v>
      </c>
      <c r="E1024" s="8">
        <v>74021889</v>
      </c>
      <c r="F1024" s="8">
        <v>3287</v>
      </c>
      <c r="G1024" s="7" t="s">
        <v>27</v>
      </c>
      <c r="H1024" s="7" t="s">
        <v>4801</v>
      </c>
      <c r="I1024" s="7" t="s">
        <v>4802</v>
      </c>
      <c r="J1024" s="8">
        <f>79250015246</f>
      </c>
      <c r="K1024" s="9"/>
      <c r="L1024" s="7" t="s">
        <v>544</v>
      </c>
      <c r="M1024" s="8">
        <v>74</v>
      </c>
      <c r="N1024" s="7" t="s">
        <v>545</v>
      </c>
      <c r="O1024" s="7" t="s">
        <v>232</v>
      </c>
      <c r="P1024" s="7" t="s">
        <v>4714</v>
      </c>
      <c r="Q1024" s="8" t="s">
        <v>58</v>
      </c>
      <c r="R1024" s="7" t="s">
        <v>33</v>
      </c>
      <c r="S1024" s="7" t="s">
        <v>47</v>
      </c>
      <c r="T1024" s="10">
        <v>3</v>
      </c>
      <c r="U1024" s="7"/>
      <c r="V1024" s="10">
        <v>0</v>
      </c>
      <c r="W1024" s="7" t="s">
        <v>48</v>
      </c>
      <c r="X1024" s="10" t="s">
        <v>712</v>
      </c>
      <c r="Y1024" s="7" t="s">
        <v>37</v>
      </c>
    </row>
    <row x14ac:dyDescent="0.25" r="1025" customHeight="1" ht="18.75">
      <c r="A1025" s="11">
        <v>74021890</v>
      </c>
      <c r="B1025" s="12">
        <v>3288</v>
      </c>
      <c r="C1025" s="13" t="s">
        <v>4803</v>
      </c>
      <c r="D1025" s="13" t="s">
        <v>4804</v>
      </c>
      <c r="E1025" s="14">
        <v>74021890</v>
      </c>
      <c r="F1025" s="14">
        <v>3288</v>
      </c>
      <c r="G1025" s="13" t="s">
        <v>27</v>
      </c>
      <c r="H1025" s="13" t="s">
        <v>4805</v>
      </c>
      <c r="I1025" s="13" t="s">
        <v>4806</v>
      </c>
      <c r="J1025" s="9"/>
      <c r="K1025" s="14"/>
      <c r="L1025" s="13" t="s">
        <v>544</v>
      </c>
      <c r="M1025" s="14">
        <v>74</v>
      </c>
      <c r="N1025" s="13" t="s">
        <v>545</v>
      </c>
      <c r="O1025" s="13" t="s">
        <v>232</v>
      </c>
      <c r="P1025" s="13" t="s">
        <v>1371</v>
      </c>
      <c r="Q1025" s="14" t="s">
        <v>4807</v>
      </c>
      <c r="R1025" s="13" t="s">
        <v>33</v>
      </c>
      <c r="S1025" s="13" t="s">
        <v>47</v>
      </c>
      <c r="T1025" s="15">
        <v>3</v>
      </c>
      <c r="U1025" s="13"/>
      <c r="V1025" s="15">
        <v>0</v>
      </c>
      <c r="W1025" s="13" t="s">
        <v>48</v>
      </c>
      <c r="X1025" s="15" t="s">
        <v>895</v>
      </c>
      <c r="Y1025" s="13" t="s">
        <v>37</v>
      </c>
    </row>
    <row x14ac:dyDescent="0.25" r="1026" customHeight="1" ht="18.75">
      <c r="A1026" s="5">
        <v>74321827</v>
      </c>
      <c r="B1026" s="6">
        <v>3305</v>
      </c>
      <c r="C1026" s="7" t="s">
        <v>4808</v>
      </c>
      <c r="D1026" s="7" t="s">
        <v>4809</v>
      </c>
      <c r="E1026" s="8">
        <v>74321827</v>
      </c>
      <c r="F1026" s="8">
        <v>3305</v>
      </c>
      <c r="G1026" s="7" t="s">
        <v>27</v>
      </c>
      <c r="H1026" s="7" t="s">
        <v>4810</v>
      </c>
      <c r="I1026" s="7" t="s">
        <v>4811</v>
      </c>
      <c r="J1026" s="8">
        <f>74952408424</f>
      </c>
      <c r="K1026" s="8">
        <v>6636</v>
      </c>
      <c r="L1026" s="7" t="s">
        <v>1276</v>
      </c>
      <c r="M1026" s="8">
        <v>105</v>
      </c>
      <c r="N1026" s="7" t="s">
        <v>1277</v>
      </c>
      <c r="O1026" s="7" t="s">
        <v>96</v>
      </c>
      <c r="P1026" s="7" t="s">
        <v>181</v>
      </c>
      <c r="Q1026" s="8" t="s">
        <v>182</v>
      </c>
      <c r="R1026" s="7" t="s">
        <v>33</v>
      </c>
      <c r="S1026" s="7" t="s">
        <v>47</v>
      </c>
      <c r="T1026" s="10">
        <v>3</v>
      </c>
      <c r="U1026" s="7"/>
      <c r="V1026" s="10">
        <v>0</v>
      </c>
      <c r="W1026" s="7" t="s">
        <v>48</v>
      </c>
      <c r="X1026" s="10" t="s">
        <v>65</v>
      </c>
      <c r="Y1026" s="7" t="s">
        <v>59</v>
      </c>
    </row>
    <row x14ac:dyDescent="0.25" r="1027" customHeight="1" ht="18.75">
      <c r="A1027" s="11">
        <v>74021893</v>
      </c>
      <c r="B1027" s="12">
        <v>3306</v>
      </c>
      <c r="C1027" s="13" t="s">
        <v>4812</v>
      </c>
      <c r="D1027" s="13" t="s">
        <v>4813</v>
      </c>
      <c r="E1027" s="14">
        <v>74021893</v>
      </c>
      <c r="F1027" s="14">
        <v>3306</v>
      </c>
      <c r="G1027" s="13" t="s">
        <v>27</v>
      </c>
      <c r="H1027" s="13" t="s">
        <v>4814</v>
      </c>
      <c r="I1027" s="13" t="s">
        <v>4815</v>
      </c>
      <c r="J1027" s="14">
        <f>79682677717</f>
      </c>
      <c r="K1027" s="9"/>
      <c r="L1027" s="13" t="s">
        <v>117</v>
      </c>
      <c r="M1027" s="14">
        <v>210</v>
      </c>
      <c r="N1027" s="13" t="s">
        <v>118</v>
      </c>
      <c r="O1027" s="13" t="s">
        <v>119</v>
      </c>
      <c r="P1027" s="13" t="s">
        <v>4816</v>
      </c>
      <c r="Q1027" s="14" t="s">
        <v>58</v>
      </c>
      <c r="R1027" s="13" t="s">
        <v>33</v>
      </c>
      <c r="S1027" s="13" t="s">
        <v>47</v>
      </c>
      <c r="T1027" s="15">
        <v>3</v>
      </c>
      <c r="U1027" s="13"/>
      <c r="V1027" s="15">
        <v>0</v>
      </c>
      <c r="W1027" s="13" t="s">
        <v>48</v>
      </c>
      <c r="X1027" s="15" t="s">
        <v>712</v>
      </c>
      <c r="Y1027" s="13" t="s">
        <v>126</v>
      </c>
    </row>
    <row x14ac:dyDescent="0.25" r="1028" customHeight="1" ht="18.75">
      <c r="A1028" s="5">
        <v>74321828</v>
      </c>
      <c r="B1028" s="6">
        <v>3318</v>
      </c>
      <c r="C1028" s="7" t="s">
        <v>4817</v>
      </c>
      <c r="D1028" s="7" t="s">
        <v>4818</v>
      </c>
      <c r="E1028" s="8">
        <v>74321828</v>
      </c>
      <c r="F1028" s="8">
        <v>3318</v>
      </c>
      <c r="G1028" s="7" t="s">
        <v>27</v>
      </c>
      <c r="H1028" s="7" t="s">
        <v>4819</v>
      </c>
      <c r="I1028" s="7" t="s">
        <v>4820</v>
      </c>
      <c r="J1028" s="8">
        <f>74952408424</f>
      </c>
      <c r="K1028" s="8">
        <v>6640</v>
      </c>
      <c r="L1028" s="7" t="s">
        <v>1276</v>
      </c>
      <c r="M1028" s="8">
        <v>105</v>
      </c>
      <c r="N1028" s="7" t="s">
        <v>1277</v>
      </c>
      <c r="O1028" s="7" t="s">
        <v>82</v>
      </c>
      <c r="P1028" s="7" t="s">
        <v>637</v>
      </c>
      <c r="Q1028" s="8" t="s">
        <v>58</v>
      </c>
      <c r="R1028" s="7" t="s">
        <v>33</v>
      </c>
      <c r="S1028" s="7" t="s">
        <v>47</v>
      </c>
      <c r="T1028" s="10">
        <v>3</v>
      </c>
      <c r="U1028" s="7"/>
      <c r="V1028" s="10">
        <v>0</v>
      </c>
      <c r="W1028" s="7" t="s">
        <v>48</v>
      </c>
      <c r="X1028" s="10" t="s">
        <v>65</v>
      </c>
      <c r="Y1028" s="7" t="s">
        <v>59</v>
      </c>
    </row>
    <row x14ac:dyDescent="0.25" r="1029" customHeight="1" ht="18.75">
      <c r="A1029" s="11">
        <v>74021894</v>
      </c>
      <c r="B1029" s="12">
        <v>3321</v>
      </c>
      <c r="C1029" s="13" t="s">
        <v>4821</v>
      </c>
      <c r="D1029" s="13" t="s">
        <v>4822</v>
      </c>
      <c r="E1029" s="14">
        <v>74021894</v>
      </c>
      <c r="F1029" s="14">
        <v>3321</v>
      </c>
      <c r="G1029" s="13" t="s">
        <v>27</v>
      </c>
      <c r="H1029" s="13" t="s">
        <v>4823</v>
      </c>
      <c r="I1029" s="13" t="s">
        <v>4824</v>
      </c>
      <c r="J1029" s="14">
        <f>79250014299</f>
      </c>
      <c r="K1029" s="9"/>
      <c r="L1029" s="13" t="s">
        <v>544</v>
      </c>
      <c r="M1029" s="14">
        <v>74</v>
      </c>
      <c r="N1029" s="13" t="s">
        <v>545</v>
      </c>
      <c r="O1029" s="13" t="s">
        <v>232</v>
      </c>
      <c r="P1029" s="13" t="s">
        <v>4155</v>
      </c>
      <c r="Q1029" s="14" t="s">
        <v>1219</v>
      </c>
      <c r="R1029" s="13" t="s">
        <v>33</v>
      </c>
      <c r="S1029" s="13" t="s">
        <v>47</v>
      </c>
      <c r="T1029" s="15">
        <v>3</v>
      </c>
      <c r="U1029" s="13"/>
      <c r="V1029" s="15">
        <v>0</v>
      </c>
      <c r="W1029" s="13" t="s">
        <v>48</v>
      </c>
      <c r="X1029" s="15" t="s">
        <v>712</v>
      </c>
      <c r="Y1029" s="13" t="s">
        <v>37</v>
      </c>
    </row>
    <row x14ac:dyDescent="0.25" r="1030" customHeight="1" ht="18.75">
      <c r="A1030" s="5">
        <v>74021897</v>
      </c>
      <c r="B1030" s="6">
        <v>3322</v>
      </c>
      <c r="C1030" s="7" t="s">
        <v>4825</v>
      </c>
      <c r="D1030" s="7" t="s">
        <v>4826</v>
      </c>
      <c r="E1030" s="8">
        <v>74021897</v>
      </c>
      <c r="F1030" s="8">
        <v>3322</v>
      </c>
      <c r="G1030" s="7" t="s">
        <v>27</v>
      </c>
      <c r="H1030" s="7" t="s">
        <v>4827</v>
      </c>
      <c r="I1030" s="7" t="s">
        <v>4828</v>
      </c>
      <c r="J1030" s="8">
        <f>74232053226</f>
      </c>
      <c r="K1030" s="9"/>
      <c r="L1030" s="7" t="s">
        <v>721</v>
      </c>
      <c r="M1030" s="8">
        <v>115</v>
      </c>
      <c r="N1030" s="7" t="s">
        <v>1376</v>
      </c>
      <c r="O1030" s="7" t="s">
        <v>723</v>
      </c>
      <c r="P1030" s="7" t="s">
        <v>724</v>
      </c>
      <c r="Q1030" s="8" t="s">
        <v>4829</v>
      </c>
      <c r="R1030" s="7" t="s">
        <v>33</v>
      </c>
      <c r="S1030" s="7" t="s">
        <v>47</v>
      </c>
      <c r="T1030" s="10">
        <v>3</v>
      </c>
      <c r="U1030" s="7"/>
      <c r="V1030" s="10">
        <v>0</v>
      </c>
      <c r="W1030" s="7" t="s">
        <v>48</v>
      </c>
      <c r="X1030" s="10" t="s">
        <v>712</v>
      </c>
      <c r="Y1030" s="7" t="s">
        <v>37</v>
      </c>
    </row>
    <row x14ac:dyDescent="0.25" r="1031" customHeight="1" ht="18.75">
      <c r="A1031" s="11">
        <v>74021895</v>
      </c>
      <c r="B1031" s="12">
        <v>3323</v>
      </c>
      <c r="C1031" s="13" t="s">
        <v>4830</v>
      </c>
      <c r="D1031" s="13" t="s">
        <v>4831</v>
      </c>
      <c r="E1031" s="14">
        <v>74021895</v>
      </c>
      <c r="F1031" s="14">
        <v>3323</v>
      </c>
      <c r="G1031" s="13" t="s">
        <v>27</v>
      </c>
      <c r="H1031" s="13" t="s">
        <v>4832</v>
      </c>
      <c r="I1031" s="13" t="s">
        <v>4833</v>
      </c>
      <c r="J1031" s="14">
        <f>78552928424</f>
      </c>
      <c r="K1031" s="9"/>
      <c r="L1031" s="13" t="s">
        <v>42</v>
      </c>
      <c r="M1031" s="14">
        <v>127</v>
      </c>
      <c r="N1031" s="13" t="s">
        <v>1452</v>
      </c>
      <c r="O1031" s="13" t="s">
        <v>44</v>
      </c>
      <c r="P1031" s="13" t="s">
        <v>4834</v>
      </c>
      <c r="Q1031" s="14" t="s">
        <v>4835</v>
      </c>
      <c r="R1031" s="13" t="s">
        <v>33</v>
      </c>
      <c r="S1031" s="13" t="s">
        <v>47</v>
      </c>
      <c r="T1031" s="15">
        <v>3</v>
      </c>
      <c r="U1031" s="13"/>
      <c r="V1031" s="15">
        <v>0</v>
      </c>
      <c r="W1031" s="13" t="s">
        <v>48</v>
      </c>
      <c r="X1031" s="15" t="s">
        <v>36</v>
      </c>
      <c r="Y1031" s="13" t="s">
        <v>37</v>
      </c>
    </row>
    <row x14ac:dyDescent="0.25" r="1032" customHeight="1" ht="18.75">
      <c r="A1032" s="5">
        <v>74021896</v>
      </c>
      <c r="B1032" s="6">
        <v>3324</v>
      </c>
      <c r="C1032" s="7" t="s">
        <v>4836</v>
      </c>
      <c r="D1032" s="7" t="s">
        <v>4837</v>
      </c>
      <c r="E1032" s="8">
        <v>74021896</v>
      </c>
      <c r="F1032" s="8">
        <v>3324</v>
      </c>
      <c r="G1032" s="7" t="s">
        <v>27</v>
      </c>
      <c r="H1032" s="7" t="s">
        <v>4838</v>
      </c>
      <c r="I1032" s="7" t="s">
        <v>4839</v>
      </c>
      <c r="J1032" s="8">
        <f>78555325010</f>
      </c>
      <c r="K1032" s="9"/>
      <c r="L1032" s="7" t="s">
        <v>42</v>
      </c>
      <c r="M1032" s="8">
        <v>127</v>
      </c>
      <c r="N1032" s="7" t="s">
        <v>1452</v>
      </c>
      <c r="O1032" s="7" t="s">
        <v>44</v>
      </c>
      <c r="P1032" s="7" t="s">
        <v>1453</v>
      </c>
      <c r="Q1032" s="8" t="s">
        <v>4840</v>
      </c>
      <c r="R1032" s="7" t="s">
        <v>33</v>
      </c>
      <c r="S1032" s="7" t="s">
        <v>47</v>
      </c>
      <c r="T1032" s="10">
        <v>3</v>
      </c>
      <c r="U1032" s="7"/>
      <c r="V1032" s="10">
        <v>0</v>
      </c>
      <c r="W1032" s="7" t="s">
        <v>48</v>
      </c>
      <c r="X1032" s="10" t="s">
        <v>36</v>
      </c>
      <c r="Y1032" s="7" t="s">
        <v>126</v>
      </c>
    </row>
    <row x14ac:dyDescent="0.25" r="1033" customHeight="1" ht="18.75">
      <c r="A1033" s="11">
        <v>74321829</v>
      </c>
      <c r="B1033" s="12">
        <v>3353</v>
      </c>
      <c r="C1033" s="13" t="s">
        <v>4841</v>
      </c>
      <c r="D1033" s="13" t="s">
        <v>4842</v>
      </c>
      <c r="E1033" s="14">
        <v>74321829</v>
      </c>
      <c r="F1033" s="14">
        <v>3353</v>
      </c>
      <c r="G1033" s="13" t="s">
        <v>27</v>
      </c>
      <c r="H1033" s="13" t="s">
        <v>4843</v>
      </c>
      <c r="I1033" s="13" t="s">
        <v>4844</v>
      </c>
      <c r="J1033" s="14">
        <f>74952408424</f>
      </c>
      <c r="K1033" s="14">
        <v>6642</v>
      </c>
      <c r="L1033" s="13" t="s">
        <v>1276</v>
      </c>
      <c r="M1033" s="14">
        <v>105</v>
      </c>
      <c r="N1033" s="13" t="s">
        <v>1277</v>
      </c>
      <c r="O1033" s="13" t="s">
        <v>73</v>
      </c>
      <c r="P1033" s="13" t="s">
        <v>2181</v>
      </c>
      <c r="Q1033" s="14" t="s">
        <v>182</v>
      </c>
      <c r="R1033" s="13" t="s">
        <v>33</v>
      </c>
      <c r="S1033" s="13" t="s">
        <v>47</v>
      </c>
      <c r="T1033" s="15">
        <v>3</v>
      </c>
      <c r="U1033" s="13"/>
      <c r="V1033" s="15">
        <v>0</v>
      </c>
      <c r="W1033" s="13" t="s">
        <v>48</v>
      </c>
      <c r="X1033" s="15" t="s">
        <v>36</v>
      </c>
      <c r="Y1033" s="13" t="s">
        <v>84</v>
      </c>
    </row>
    <row x14ac:dyDescent="0.25" r="1034" customHeight="1" ht="18.75">
      <c r="A1034" s="5">
        <v>74321830</v>
      </c>
      <c r="B1034" s="6">
        <v>3354</v>
      </c>
      <c r="C1034" s="7" t="s">
        <v>4845</v>
      </c>
      <c r="D1034" s="7" t="s">
        <v>4846</v>
      </c>
      <c r="E1034" s="8">
        <v>74321830</v>
      </c>
      <c r="F1034" s="8">
        <v>3354</v>
      </c>
      <c r="G1034" s="7" t="s">
        <v>27</v>
      </c>
      <c r="H1034" s="7" t="s">
        <v>4847</v>
      </c>
      <c r="I1034" s="7" t="s">
        <v>4848</v>
      </c>
      <c r="J1034" s="8">
        <f>74952408424</f>
      </c>
      <c r="K1034" s="8">
        <v>6639</v>
      </c>
      <c r="L1034" s="7" t="s">
        <v>1276</v>
      </c>
      <c r="M1034" s="8">
        <v>105</v>
      </c>
      <c r="N1034" s="7" t="s">
        <v>1277</v>
      </c>
      <c r="O1034" s="7" t="s">
        <v>96</v>
      </c>
      <c r="P1034" s="7" t="s">
        <v>280</v>
      </c>
      <c r="Q1034" s="8" t="s">
        <v>182</v>
      </c>
      <c r="R1034" s="7" t="s">
        <v>33</v>
      </c>
      <c r="S1034" s="7" t="s">
        <v>47</v>
      </c>
      <c r="T1034" s="10">
        <v>3</v>
      </c>
      <c r="U1034" s="7"/>
      <c r="V1034" s="10">
        <v>0</v>
      </c>
      <c r="W1034" s="7" t="s">
        <v>48</v>
      </c>
      <c r="X1034" s="10" t="s">
        <v>65</v>
      </c>
      <c r="Y1034" s="7" t="s">
        <v>126</v>
      </c>
    </row>
    <row x14ac:dyDescent="0.25" r="1035" customHeight="1" ht="18.75">
      <c r="A1035" s="11">
        <v>74321831</v>
      </c>
      <c r="B1035" s="12">
        <v>3355</v>
      </c>
      <c r="C1035" s="13" t="s">
        <v>4849</v>
      </c>
      <c r="D1035" s="13" t="s">
        <v>4850</v>
      </c>
      <c r="E1035" s="14">
        <v>74321831</v>
      </c>
      <c r="F1035" s="14">
        <v>3355</v>
      </c>
      <c r="G1035" s="13" t="s">
        <v>27</v>
      </c>
      <c r="H1035" s="13" t="s">
        <v>4851</v>
      </c>
      <c r="I1035" s="13" t="s">
        <v>4852</v>
      </c>
      <c r="J1035" s="14">
        <f>74952408424</f>
      </c>
      <c r="K1035" s="14">
        <v>6644</v>
      </c>
      <c r="L1035" s="13" t="s">
        <v>1276</v>
      </c>
      <c r="M1035" s="14">
        <v>105</v>
      </c>
      <c r="N1035" s="13" t="s">
        <v>1277</v>
      </c>
      <c r="O1035" s="13" t="s">
        <v>96</v>
      </c>
      <c r="P1035" s="13" t="s">
        <v>4853</v>
      </c>
      <c r="Q1035" s="14" t="s">
        <v>4854</v>
      </c>
      <c r="R1035" s="13" t="s">
        <v>33</v>
      </c>
      <c r="S1035" s="13" t="s">
        <v>47</v>
      </c>
      <c r="T1035" s="15">
        <v>3</v>
      </c>
      <c r="U1035" s="13"/>
      <c r="V1035" s="15">
        <v>0</v>
      </c>
      <c r="W1035" s="13" t="s">
        <v>48</v>
      </c>
      <c r="X1035" s="15" t="s">
        <v>36</v>
      </c>
      <c r="Y1035" s="13" t="s">
        <v>37</v>
      </c>
    </row>
    <row x14ac:dyDescent="0.25" r="1036" customHeight="1" ht="18.75">
      <c r="A1036" s="5">
        <v>74321832</v>
      </c>
      <c r="B1036" s="6">
        <v>3356</v>
      </c>
      <c r="C1036" s="7" t="s">
        <v>4855</v>
      </c>
      <c r="D1036" s="7" t="s">
        <v>4856</v>
      </c>
      <c r="E1036" s="8">
        <v>74321832</v>
      </c>
      <c r="F1036" s="8">
        <v>3356</v>
      </c>
      <c r="G1036" s="7" t="s">
        <v>27</v>
      </c>
      <c r="H1036" s="7" t="s">
        <v>4857</v>
      </c>
      <c r="I1036" s="7" t="s">
        <v>4858</v>
      </c>
      <c r="J1036" s="8">
        <f>74952408424</f>
      </c>
      <c r="K1036" s="8">
        <v>6637</v>
      </c>
      <c r="L1036" s="7" t="s">
        <v>1276</v>
      </c>
      <c r="M1036" s="8">
        <v>105</v>
      </c>
      <c r="N1036" s="7" t="s">
        <v>1277</v>
      </c>
      <c r="O1036" s="7" t="s">
        <v>73</v>
      </c>
      <c r="P1036" s="7" t="s">
        <v>4859</v>
      </c>
      <c r="Q1036" s="8" t="s">
        <v>1742</v>
      </c>
      <c r="R1036" s="7" t="s">
        <v>33</v>
      </c>
      <c r="S1036" s="7" t="s">
        <v>47</v>
      </c>
      <c r="T1036" s="10">
        <v>3</v>
      </c>
      <c r="U1036" s="7"/>
      <c r="V1036" s="10">
        <v>0</v>
      </c>
      <c r="W1036" s="7" t="s">
        <v>48</v>
      </c>
      <c r="X1036" s="10" t="s">
        <v>36</v>
      </c>
      <c r="Y1036" s="7" t="s">
        <v>37</v>
      </c>
    </row>
    <row x14ac:dyDescent="0.25" r="1037" customHeight="1" ht="18.75">
      <c r="A1037" s="11">
        <v>74321833</v>
      </c>
      <c r="B1037" s="12">
        <v>3357</v>
      </c>
      <c r="C1037" s="13" t="s">
        <v>4860</v>
      </c>
      <c r="D1037" s="13" t="s">
        <v>4861</v>
      </c>
      <c r="E1037" s="14">
        <v>74321833</v>
      </c>
      <c r="F1037" s="14">
        <v>3357</v>
      </c>
      <c r="G1037" s="13" t="s">
        <v>27</v>
      </c>
      <c r="H1037" s="13" t="s">
        <v>4862</v>
      </c>
      <c r="I1037" s="13" t="s">
        <v>4863</v>
      </c>
      <c r="J1037" s="14">
        <f>78462150333</f>
      </c>
      <c r="K1037" s="14">
        <v>6641</v>
      </c>
      <c r="L1037" s="13" t="s">
        <v>1276</v>
      </c>
      <c r="M1037" s="14">
        <v>105</v>
      </c>
      <c r="N1037" s="13" t="s">
        <v>1277</v>
      </c>
      <c r="O1037" s="13" t="s">
        <v>44</v>
      </c>
      <c r="P1037" s="13" t="s">
        <v>2876</v>
      </c>
      <c r="Q1037" s="14" t="s">
        <v>58</v>
      </c>
      <c r="R1037" s="13" t="s">
        <v>33</v>
      </c>
      <c r="S1037" s="13" t="s">
        <v>47</v>
      </c>
      <c r="T1037" s="15">
        <v>3</v>
      </c>
      <c r="U1037" s="13"/>
      <c r="V1037" s="15">
        <v>0</v>
      </c>
      <c r="W1037" s="13" t="s">
        <v>48</v>
      </c>
      <c r="X1037" s="15" t="s">
        <v>65</v>
      </c>
      <c r="Y1037" s="13" t="s">
        <v>37</v>
      </c>
    </row>
    <row x14ac:dyDescent="0.25" r="1038" customHeight="1" ht="18.75">
      <c r="A1038" s="5">
        <v>74021900</v>
      </c>
      <c r="B1038" s="6">
        <v>3371</v>
      </c>
      <c r="C1038" s="7" t="s">
        <v>4864</v>
      </c>
      <c r="D1038" s="7" t="s">
        <v>4865</v>
      </c>
      <c r="E1038" s="8">
        <v>74021900</v>
      </c>
      <c r="F1038" s="8">
        <v>3371</v>
      </c>
      <c r="G1038" s="7" t="s">
        <v>27</v>
      </c>
      <c r="H1038" s="7" t="s">
        <v>4866</v>
      </c>
      <c r="I1038" s="7" t="s">
        <v>4867</v>
      </c>
      <c r="J1038" s="8">
        <f>79613315010</f>
      </c>
      <c r="K1038" s="9"/>
      <c r="L1038" s="7" t="s">
        <v>117</v>
      </c>
      <c r="M1038" s="8">
        <v>210</v>
      </c>
      <c r="N1038" s="7" t="s">
        <v>118</v>
      </c>
      <c r="O1038" s="7" t="s">
        <v>119</v>
      </c>
      <c r="P1038" s="7" t="s">
        <v>120</v>
      </c>
      <c r="Q1038" s="8" t="s">
        <v>58</v>
      </c>
      <c r="R1038" s="7" t="s">
        <v>33</v>
      </c>
      <c r="S1038" s="7" t="s">
        <v>47</v>
      </c>
      <c r="T1038" s="10">
        <v>3</v>
      </c>
      <c r="U1038" s="7"/>
      <c r="V1038" s="10">
        <v>0</v>
      </c>
      <c r="W1038" s="7" t="s">
        <v>48</v>
      </c>
      <c r="X1038" s="10" t="s">
        <v>895</v>
      </c>
      <c r="Y1038" s="7" t="s">
        <v>126</v>
      </c>
    </row>
    <row x14ac:dyDescent="0.25" r="1039" customHeight="1" ht="18.75">
      <c r="A1039" s="11">
        <v>74021901</v>
      </c>
      <c r="B1039" s="12">
        <v>3372</v>
      </c>
      <c r="C1039" s="13" t="s">
        <v>4868</v>
      </c>
      <c r="D1039" s="13" t="s">
        <v>4869</v>
      </c>
      <c r="E1039" s="14">
        <v>74021901</v>
      </c>
      <c r="F1039" s="14">
        <v>3372</v>
      </c>
      <c r="G1039" s="13" t="s">
        <v>27</v>
      </c>
      <c r="H1039" s="13" t="s">
        <v>4870</v>
      </c>
      <c r="I1039" s="13" t="s">
        <v>4871</v>
      </c>
      <c r="J1039" s="14">
        <f>79613260883</f>
      </c>
      <c r="K1039" s="9"/>
      <c r="L1039" s="13" t="s">
        <v>117</v>
      </c>
      <c r="M1039" s="14">
        <v>210</v>
      </c>
      <c r="N1039" s="13" t="s">
        <v>118</v>
      </c>
      <c r="O1039" s="13" t="s">
        <v>119</v>
      </c>
      <c r="P1039" s="13" t="s">
        <v>120</v>
      </c>
      <c r="Q1039" s="14" t="s">
        <v>58</v>
      </c>
      <c r="R1039" s="13" t="s">
        <v>33</v>
      </c>
      <c r="S1039" s="13" t="s">
        <v>47</v>
      </c>
      <c r="T1039" s="15">
        <v>4</v>
      </c>
      <c r="U1039" s="13"/>
      <c r="V1039" s="15">
        <v>0</v>
      </c>
      <c r="W1039" s="13" t="s">
        <v>48</v>
      </c>
      <c r="X1039" s="15" t="s">
        <v>712</v>
      </c>
      <c r="Y1039" s="13" t="s">
        <v>126</v>
      </c>
    </row>
    <row x14ac:dyDescent="0.25" r="1040" customHeight="1" ht="18.75">
      <c r="A1040" s="5">
        <v>74021902</v>
      </c>
      <c r="B1040" s="6">
        <v>3373</v>
      </c>
      <c r="C1040" s="7" t="s">
        <v>4872</v>
      </c>
      <c r="D1040" s="7" t="s">
        <v>4873</v>
      </c>
      <c r="E1040" s="8">
        <v>74021902</v>
      </c>
      <c r="F1040" s="8">
        <v>3373</v>
      </c>
      <c r="G1040" s="7" t="s">
        <v>27</v>
      </c>
      <c r="H1040" s="7" t="s">
        <v>4874</v>
      </c>
      <c r="I1040" s="7" t="s">
        <v>4875</v>
      </c>
      <c r="J1040" s="8">
        <f>79613260894</f>
      </c>
      <c r="K1040" s="9"/>
      <c r="L1040" s="7" t="s">
        <v>117</v>
      </c>
      <c r="M1040" s="8">
        <v>210</v>
      </c>
      <c r="N1040" s="7" t="s">
        <v>118</v>
      </c>
      <c r="O1040" s="7" t="s">
        <v>119</v>
      </c>
      <c r="P1040" s="7" t="s">
        <v>4876</v>
      </c>
      <c r="Q1040" s="8" t="s">
        <v>58</v>
      </c>
      <c r="R1040" s="7" t="s">
        <v>33</v>
      </c>
      <c r="S1040" s="7" t="s">
        <v>47</v>
      </c>
      <c r="T1040" s="10">
        <v>3</v>
      </c>
      <c r="U1040" s="7"/>
      <c r="V1040" s="10">
        <v>0</v>
      </c>
      <c r="W1040" s="7" t="s">
        <v>48</v>
      </c>
      <c r="X1040" s="10" t="s">
        <v>895</v>
      </c>
      <c r="Y1040" s="7" t="s">
        <v>84</v>
      </c>
    </row>
    <row x14ac:dyDescent="0.25" r="1041" customHeight="1" ht="18.75">
      <c r="A1041" s="11">
        <v>74021903</v>
      </c>
      <c r="B1041" s="12">
        <v>3374</v>
      </c>
      <c r="C1041" s="13" t="s">
        <v>4877</v>
      </c>
      <c r="D1041" s="13" t="s">
        <v>4878</v>
      </c>
      <c r="E1041" s="14">
        <v>74021903</v>
      </c>
      <c r="F1041" s="14">
        <v>3374</v>
      </c>
      <c r="G1041" s="13" t="s">
        <v>27</v>
      </c>
      <c r="H1041" s="13" t="s">
        <v>4879</v>
      </c>
      <c r="I1041" s="13" t="s">
        <v>4880</v>
      </c>
      <c r="J1041" s="14">
        <f>79643446178</f>
      </c>
      <c r="K1041" s="9"/>
      <c r="L1041" s="13" t="s">
        <v>54</v>
      </c>
      <c r="M1041" s="14">
        <v>188</v>
      </c>
      <c r="N1041" s="13" t="s">
        <v>55</v>
      </c>
      <c r="O1041" s="13" t="s">
        <v>56</v>
      </c>
      <c r="P1041" s="13" t="s">
        <v>314</v>
      </c>
      <c r="Q1041" s="14" t="s">
        <v>58</v>
      </c>
      <c r="R1041" s="13" t="s">
        <v>33</v>
      </c>
      <c r="S1041" s="13" t="s">
        <v>47</v>
      </c>
      <c r="T1041" s="15">
        <v>3</v>
      </c>
      <c r="U1041" s="13"/>
      <c r="V1041" s="15">
        <v>0</v>
      </c>
      <c r="W1041" s="13" t="s">
        <v>48</v>
      </c>
      <c r="X1041" s="15" t="s">
        <v>65</v>
      </c>
      <c r="Y1041" s="13" t="s">
        <v>84</v>
      </c>
    </row>
    <row x14ac:dyDescent="0.25" r="1042" customHeight="1" ht="18.75">
      <c r="A1042" s="5">
        <v>74021907</v>
      </c>
      <c r="B1042" s="6">
        <v>3378</v>
      </c>
      <c r="C1042" s="7" t="s">
        <v>4881</v>
      </c>
      <c r="D1042" s="7" t="s">
        <v>4882</v>
      </c>
      <c r="E1042" s="8">
        <v>74021907</v>
      </c>
      <c r="F1042" s="8">
        <v>3378</v>
      </c>
      <c r="G1042" s="7" t="s">
        <v>27</v>
      </c>
      <c r="H1042" s="7" t="s">
        <v>4883</v>
      </c>
      <c r="I1042" s="7" t="s">
        <v>4884</v>
      </c>
      <c r="J1042" s="8">
        <f>73852230310</f>
      </c>
      <c r="K1042" s="9"/>
      <c r="L1042" s="7" t="s">
        <v>71</v>
      </c>
      <c r="M1042" s="8">
        <v>100270</v>
      </c>
      <c r="N1042" s="7" t="s">
        <v>2343</v>
      </c>
      <c r="O1042" s="7" t="s">
        <v>73</v>
      </c>
      <c r="P1042" s="7" t="s">
        <v>74</v>
      </c>
      <c r="Q1042" s="8" t="s">
        <v>4885</v>
      </c>
      <c r="R1042" s="7" t="s">
        <v>33</v>
      </c>
      <c r="S1042" s="7" t="s">
        <v>47</v>
      </c>
      <c r="T1042" s="10">
        <v>3</v>
      </c>
      <c r="U1042" s="7"/>
      <c r="V1042" s="10">
        <v>0</v>
      </c>
      <c r="W1042" s="7" t="s">
        <v>48</v>
      </c>
      <c r="X1042" s="10" t="s">
        <v>36</v>
      </c>
      <c r="Y1042" s="7" t="s">
        <v>84</v>
      </c>
    </row>
    <row x14ac:dyDescent="0.25" r="1043" customHeight="1" ht="18.75">
      <c r="A1043" s="11">
        <v>74021908</v>
      </c>
      <c r="B1043" s="12">
        <v>3379</v>
      </c>
      <c r="C1043" s="13" t="s">
        <v>4886</v>
      </c>
      <c r="D1043" s="13" t="s">
        <v>4887</v>
      </c>
      <c r="E1043" s="14">
        <v>74021908</v>
      </c>
      <c r="F1043" s="14">
        <v>3379</v>
      </c>
      <c r="G1043" s="13" t="s">
        <v>27</v>
      </c>
      <c r="H1043" s="13" t="s">
        <v>4888</v>
      </c>
      <c r="I1043" s="13" t="s">
        <v>4889</v>
      </c>
      <c r="J1043" s="14">
        <f>73852257047</f>
      </c>
      <c r="K1043" s="9"/>
      <c r="L1043" s="13" t="s">
        <v>71</v>
      </c>
      <c r="M1043" s="14">
        <v>125</v>
      </c>
      <c r="N1043" s="13" t="s">
        <v>1397</v>
      </c>
      <c r="O1043" s="13" t="s">
        <v>73</v>
      </c>
      <c r="P1043" s="13" t="s">
        <v>74</v>
      </c>
      <c r="Q1043" s="14" t="s">
        <v>4890</v>
      </c>
      <c r="R1043" s="13" t="s">
        <v>33</v>
      </c>
      <c r="S1043" s="13" t="s">
        <v>47</v>
      </c>
      <c r="T1043" s="15">
        <v>3</v>
      </c>
      <c r="U1043" s="13"/>
      <c r="V1043" s="15">
        <v>0</v>
      </c>
      <c r="W1043" s="13" t="s">
        <v>48</v>
      </c>
      <c r="X1043" s="15" t="s">
        <v>36</v>
      </c>
      <c r="Y1043" s="13" t="s">
        <v>37</v>
      </c>
    </row>
    <row x14ac:dyDescent="0.25" r="1044" customHeight="1" ht="18.75">
      <c r="A1044" s="5">
        <v>74321834</v>
      </c>
      <c r="B1044" s="6">
        <v>3381</v>
      </c>
      <c r="C1044" s="7" t="s">
        <v>4891</v>
      </c>
      <c r="D1044" s="7" t="s">
        <v>4892</v>
      </c>
      <c r="E1044" s="8">
        <v>74321834</v>
      </c>
      <c r="F1044" s="8">
        <v>3381</v>
      </c>
      <c r="G1044" s="7" t="s">
        <v>27</v>
      </c>
      <c r="H1044" s="7" t="s">
        <v>4893</v>
      </c>
      <c r="I1044" s="7" t="s">
        <v>4894</v>
      </c>
      <c r="J1044" s="8">
        <f>74952408424</f>
      </c>
      <c r="K1044" s="8">
        <v>6643</v>
      </c>
      <c r="L1044" s="7" t="s">
        <v>1276</v>
      </c>
      <c r="M1044" s="8">
        <v>105</v>
      </c>
      <c r="N1044" s="7" t="s">
        <v>1277</v>
      </c>
      <c r="O1044" s="7" t="s">
        <v>82</v>
      </c>
      <c r="P1044" s="7" t="s">
        <v>4895</v>
      </c>
      <c r="Q1044" s="8" t="s">
        <v>58</v>
      </c>
      <c r="R1044" s="7" t="s">
        <v>33</v>
      </c>
      <c r="S1044" s="7" t="s">
        <v>47</v>
      </c>
      <c r="T1044" s="10">
        <v>3</v>
      </c>
      <c r="U1044" s="7"/>
      <c r="V1044" s="10">
        <v>0</v>
      </c>
      <c r="W1044" s="7" t="s">
        <v>48</v>
      </c>
      <c r="X1044" s="10" t="s">
        <v>65</v>
      </c>
      <c r="Y1044" s="7" t="s">
        <v>37</v>
      </c>
    </row>
    <row x14ac:dyDescent="0.25" r="1045" customHeight="1" ht="18.75">
      <c r="A1045" s="11">
        <v>74021910</v>
      </c>
      <c r="B1045" s="12">
        <v>3382</v>
      </c>
      <c r="C1045" s="13" t="s">
        <v>4896</v>
      </c>
      <c r="D1045" s="13" t="s">
        <v>4897</v>
      </c>
      <c r="E1045" s="14">
        <v>74021910</v>
      </c>
      <c r="F1045" s="14">
        <v>3382</v>
      </c>
      <c r="G1045" s="13" t="s">
        <v>27</v>
      </c>
      <c r="H1045" s="13" t="s">
        <v>4898</v>
      </c>
      <c r="I1045" s="13" t="s">
        <v>4899</v>
      </c>
      <c r="J1045" s="13" t="s">
        <v>467</v>
      </c>
      <c r="K1045" s="9"/>
      <c r="L1045" s="13" t="s">
        <v>508</v>
      </c>
      <c r="M1045" s="14">
        <v>159</v>
      </c>
      <c r="N1045" s="13" t="s">
        <v>1851</v>
      </c>
      <c r="O1045" s="13" t="s">
        <v>723</v>
      </c>
      <c r="P1045" s="13" t="s">
        <v>1852</v>
      </c>
      <c r="Q1045" s="14" t="s">
        <v>1853</v>
      </c>
      <c r="R1045" s="13" t="s">
        <v>33</v>
      </c>
      <c r="S1045" s="13" t="s">
        <v>47</v>
      </c>
      <c r="T1045" s="15">
        <v>3</v>
      </c>
      <c r="U1045" s="13"/>
      <c r="V1045" s="15">
        <v>0</v>
      </c>
      <c r="W1045" s="13" t="s">
        <v>48</v>
      </c>
      <c r="X1045" s="15" t="s">
        <v>36</v>
      </c>
      <c r="Y1045" s="13" t="s">
        <v>59</v>
      </c>
    </row>
    <row x14ac:dyDescent="0.25" r="1046" customHeight="1" ht="18.75">
      <c r="A1046" s="5">
        <v>74021913</v>
      </c>
      <c r="B1046" s="6">
        <v>3392</v>
      </c>
      <c r="C1046" s="7" t="s">
        <v>4900</v>
      </c>
      <c r="D1046" s="7" t="s">
        <v>4901</v>
      </c>
      <c r="E1046" s="8">
        <v>74021913</v>
      </c>
      <c r="F1046" s="8">
        <v>3392</v>
      </c>
      <c r="G1046" s="7" t="s">
        <v>27</v>
      </c>
      <c r="H1046" s="7" t="s">
        <v>4902</v>
      </c>
      <c r="I1046" s="7" t="s">
        <v>4903</v>
      </c>
      <c r="J1046" s="8">
        <f>79312588082</f>
      </c>
      <c r="K1046" s="9"/>
      <c r="L1046" s="7" t="s">
        <v>54</v>
      </c>
      <c r="M1046" s="8">
        <v>188</v>
      </c>
      <c r="N1046" s="7" t="s">
        <v>55</v>
      </c>
      <c r="O1046" s="7" t="s">
        <v>56</v>
      </c>
      <c r="P1046" s="7" t="s">
        <v>1704</v>
      </c>
      <c r="Q1046" s="8" t="s">
        <v>58</v>
      </c>
      <c r="R1046" s="7" t="s">
        <v>33</v>
      </c>
      <c r="S1046" s="7" t="s">
        <v>47</v>
      </c>
      <c r="T1046" s="10">
        <v>3</v>
      </c>
      <c r="U1046" s="7"/>
      <c r="V1046" s="10">
        <v>0</v>
      </c>
      <c r="W1046" s="7" t="s">
        <v>48</v>
      </c>
      <c r="X1046" s="10" t="s">
        <v>36</v>
      </c>
      <c r="Y1046" s="7" t="s">
        <v>37</v>
      </c>
    </row>
    <row x14ac:dyDescent="0.25" r="1047" customHeight="1" ht="18.75">
      <c r="A1047" s="11">
        <v>74021919</v>
      </c>
      <c r="B1047" s="12">
        <v>3393</v>
      </c>
      <c r="C1047" s="13" t="s">
        <v>4904</v>
      </c>
      <c r="D1047" s="13" t="s">
        <v>4905</v>
      </c>
      <c r="E1047" s="14">
        <v>74021919</v>
      </c>
      <c r="F1047" s="14">
        <v>3393</v>
      </c>
      <c r="G1047" s="13" t="s">
        <v>27</v>
      </c>
      <c r="H1047" s="13" t="s">
        <v>4906</v>
      </c>
      <c r="I1047" s="13" t="s">
        <v>4907</v>
      </c>
      <c r="J1047" s="14">
        <f>74951980986</f>
      </c>
      <c r="K1047" s="9"/>
      <c r="L1047" s="13" t="s">
        <v>80</v>
      </c>
      <c r="M1047" s="14">
        <v>170</v>
      </c>
      <c r="N1047" s="13" t="s">
        <v>4908</v>
      </c>
      <c r="O1047" s="13" t="s">
        <v>32</v>
      </c>
      <c r="P1047" s="13" t="s">
        <v>32</v>
      </c>
      <c r="Q1047" s="14" t="s">
        <v>58</v>
      </c>
      <c r="R1047" s="13" t="s">
        <v>33</v>
      </c>
      <c r="S1047" s="13" t="s">
        <v>34</v>
      </c>
      <c r="T1047" s="15">
        <v>4</v>
      </c>
      <c r="U1047" s="13"/>
      <c r="V1047" s="15">
        <v>0</v>
      </c>
      <c r="W1047" s="13" t="s">
        <v>48</v>
      </c>
      <c r="X1047" s="15" t="s">
        <v>65</v>
      </c>
      <c r="Y1047" s="13" t="s">
        <v>37</v>
      </c>
    </row>
    <row x14ac:dyDescent="0.25" r="1048" customHeight="1" ht="18.75">
      <c r="A1048" s="5">
        <v>74021911</v>
      </c>
      <c r="B1048" s="6">
        <v>3401</v>
      </c>
      <c r="C1048" s="7" t="s">
        <v>4909</v>
      </c>
      <c r="D1048" s="7" t="s">
        <v>4910</v>
      </c>
      <c r="E1048" s="8">
        <v>74021911</v>
      </c>
      <c r="F1048" s="8">
        <v>3401</v>
      </c>
      <c r="G1048" s="7" t="s">
        <v>27</v>
      </c>
      <c r="H1048" s="7" t="s">
        <v>4911</v>
      </c>
      <c r="I1048" s="7" t="s">
        <v>4912</v>
      </c>
      <c r="J1048" s="7" t="s">
        <v>467</v>
      </c>
      <c r="K1048" s="9"/>
      <c r="L1048" s="7" t="s">
        <v>230</v>
      </c>
      <c r="M1048" s="8">
        <v>100282</v>
      </c>
      <c r="N1048" s="7" t="s">
        <v>493</v>
      </c>
      <c r="O1048" s="7" t="s">
        <v>232</v>
      </c>
      <c r="P1048" s="7" t="s">
        <v>4913</v>
      </c>
      <c r="Q1048" s="8" t="s">
        <v>4914</v>
      </c>
      <c r="R1048" s="7" t="s">
        <v>33</v>
      </c>
      <c r="S1048" s="7" t="s">
        <v>47</v>
      </c>
      <c r="T1048" s="10">
        <v>3</v>
      </c>
      <c r="U1048" s="7"/>
      <c r="V1048" s="10">
        <v>0</v>
      </c>
      <c r="W1048" s="7" t="s">
        <v>48</v>
      </c>
      <c r="X1048" s="10" t="s">
        <v>36</v>
      </c>
      <c r="Y1048" s="7" t="s">
        <v>59</v>
      </c>
    </row>
    <row x14ac:dyDescent="0.25" r="1049" customHeight="1" ht="18.75">
      <c r="A1049" s="11">
        <v>74021912</v>
      </c>
      <c r="B1049" s="12">
        <v>3402</v>
      </c>
      <c r="C1049" s="13" t="s">
        <v>4915</v>
      </c>
      <c r="D1049" s="13" t="s">
        <v>4916</v>
      </c>
      <c r="E1049" s="14">
        <v>74021912</v>
      </c>
      <c r="F1049" s="14">
        <v>3402</v>
      </c>
      <c r="G1049" s="13" t="s">
        <v>27</v>
      </c>
      <c r="H1049" s="13" t="s">
        <v>4917</v>
      </c>
      <c r="I1049" s="13" t="s">
        <v>4918</v>
      </c>
      <c r="J1049" s="14">
        <f>78412235888</f>
      </c>
      <c r="K1049" s="14">
        <v>9</v>
      </c>
      <c r="L1049" s="13" t="s">
        <v>146</v>
      </c>
      <c r="M1049" s="14">
        <v>53</v>
      </c>
      <c r="N1049" s="13" t="s">
        <v>147</v>
      </c>
      <c r="O1049" s="13" t="s">
        <v>44</v>
      </c>
      <c r="P1049" s="13" t="s">
        <v>148</v>
      </c>
      <c r="Q1049" s="14" t="s">
        <v>4919</v>
      </c>
      <c r="R1049" s="13" t="s">
        <v>33</v>
      </c>
      <c r="S1049" s="13" t="s">
        <v>47</v>
      </c>
      <c r="T1049" s="15">
        <v>3</v>
      </c>
      <c r="U1049" s="13"/>
      <c r="V1049" s="15">
        <v>0</v>
      </c>
      <c r="W1049" s="13" t="s">
        <v>48</v>
      </c>
      <c r="X1049" s="15" t="s">
        <v>36</v>
      </c>
      <c r="Y1049" s="13" t="s">
        <v>37</v>
      </c>
    </row>
    <row x14ac:dyDescent="0.25" r="1050" customHeight="1" ht="18.75">
      <c r="A1050" s="5">
        <v>74021916</v>
      </c>
      <c r="B1050" s="6">
        <v>3411</v>
      </c>
      <c r="C1050" s="7" t="s">
        <v>4920</v>
      </c>
      <c r="D1050" s="7" t="s">
        <v>4921</v>
      </c>
      <c r="E1050" s="8">
        <v>74021916</v>
      </c>
      <c r="F1050" s="8">
        <v>3411</v>
      </c>
      <c r="G1050" s="7" t="s">
        <v>27</v>
      </c>
      <c r="H1050" s="7" t="s">
        <v>4922</v>
      </c>
      <c r="I1050" s="7" t="s">
        <v>4923</v>
      </c>
      <c r="J1050" s="8">
        <f>79667561232</f>
      </c>
      <c r="K1050" s="9"/>
      <c r="L1050" s="7" t="s">
        <v>54</v>
      </c>
      <c r="M1050" s="8">
        <v>188</v>
      </c>
      <c r="N1050" s="7" t="s">
        <v>55</v>
      </c>
      <c r="O1050" s="7" t="s">
        <v>56</v>
      </c>
      <c r="P1050" s="7" t="s">
        <v>57</v>
      </c>
      <c r="Q1050" s="8" t="s">
        <v>58</v>
      </c>
      <c r="R1050" s="7" t="s">
        <v>33</v>
      </c>
      <c r="S1050" s="7" t="s">
        <v>47</v>
      </c>
      <c r="T1050" s="10">
        <v>4</v>
      </c>
      <c r="U1050" s="7"/>
      <c r="V1050" s="10">
        <v>0</v>
      </c>
      <c r="W1050" s="7" t="s">
        <v>48</v>
      </c>
      <c r="X1050" s="10" t="s">
        <v>36</v>
      </c>
      <c r="Y1050" s="7" t="s">
        <v>37</v>
      </c>
    </row>
    <row x14ac:dyDescent="0.25" r="1051" customHeight="1" ht="18.75">
      <c r="A1051" s="11">
        <v>74021917</v>
      </c>
      <c r="B1051" s="12">
        <v>3412</v>
      </c>
      <c r="C1051" s="13" t="s">
        <v>4924</v>
      </c>
      <c r="D1051" s="13" t="s">
        <v>4925</v>
      </c>
      <c r="E1051" s="14">
        <v>74021917</v>
      </c>
      <c r="F1051" s="14">
        <v>3412</v>
      </c>
      <c r="G1051" s="13" t="s">
        <v>27</v>
      </c>
      <c r="H1051" s="13" t="s">
        <v>4926</v>
      </c>
      <c r="I1051" s="13" t="s">
        <v>4927</v>
      </c>
      <c r="J1051" s="14">
        <f>79282110231</f>
      </c>
      <c r="K1051" s="9"/>
      <c r="L1051" s="13" t="s">
        <v>54</v>
      </c>
      <c r="M1051" s="14">
        <v>188</v>
      </c>
      <c r="N1051" s="13" t="s">
        <v>55</v>
      </c>
      <c r="O1051" s="13" t="s">
        <v>119</v>
      </c>
      <c r="P1051" s="13" t="s">
        <v>1045</v>
      </c>
      <c r="Q1051" s="14" t="s">
        <v>58</v>
      </c>
      <c r="R1051" s="13" t="s">
        <v>33</v>
      </c>
      <c r="S1051" s="13" t="s">
        <v>47</v>
      </c>
      <c r="T1051" s="15">
        <v>3</v>
      </c>
      <c r="U1051" s="13"/>
      <c r="V1051" s="15">
        <v>0</v>
      </c>
      <c r="W1051" s="13" t="s">
        <v>48</v>
      </c>
      <c r="X1051" s="15" t="s">
        <v>36</v>
      </c>
      <c r="Y1051" s="13" t="s">
        <v>37</v>
      </c>
    </row>
    <row x14ac:dyDescent="0.25" r="1052" customHeight="1" ht="18.75">
      <c r="A1052" s="5">
        <v>74021915</v>
      </c>
      <c r="B1052" s="6">
        <v>4241</v>
      </c>
      <c r="C1052" s="7" t="s">
        <v>4928</v>
      </c>
      <c r="D1052" s="7" t="s">
        <v>4929</v>
      </c>
      <c r="E1052" s="8">
        <v>74021915</v>
      </c>
      <c r="F1052" s="8">
        <v>4241</v>
      </c>
      <c r="G1052" s="7" t="s">
        <v>27</v>
      </c>
      <c r="H1052" s="7" t="s">
        <v>4930</v>
      </c>
      <c r="I1052" s="7" t="s">
        <v>4931</v>
      </c>
      <c r="J1052" s="8">
        <f>74950236394</f>
      </c>
      <c r="K1052" s="9"/>
      <c r="L1052" s="7" t="s">
        <v>1334</v>
      </c>
      <c r="M1052" s="8">
        <v>123</v>
      </c>
      <c r="N1052" s="7" t="s">
        <v>1335</v>
      </c>
      <c r="O1052" s="7" t="s">
        <v>32</v>
      </c>
      <c r="P1052" s="7" t="s">
        <v>32</v>
      </c>
      <c r="Q1052" s="8" t="s">
        <v>4932</v>
      </c>
      <c r="R1052" s="7" t="s">
        <v>33</v>
      </c>
      <c r="S1052" s="7" t="s">
        <v>34</v>
      </c>
      <c r="T1052" s="10">
        <v>3</v>
      </c>
      <c r="U1052" s="7"/>
      <c r="V1052" s="10">
        <v>0</v>
      </c>
      <c r="W1052" s="7" t="s">
        <v>48</v>
      </c>
      <c r="X1052" s="10" t="s">
        <v>712</v>
      </c>
      <c r="Y1052" s="7" t="s">
        <v>59</v>
      </c>
    </row>
    <row x14ac:dyDescent="0.25" r="1053" customHeight="1" ht="18.75">
      <c r="A1053" s="11">
        <v>74021914</v>
      </c>
      <c r="B1053" s="12">
        <v>4242</v>
      </c>
      <c r="C1053" s="13" t="s">
        <v>4933</v>
      </c>
      <c r="D1053" s="13" t="s">
        <v>4934</v>
      </c>
      <c r="E1053" s="14">
        <v>74021914</v>
      </c>
      <c r="F1053" s="14">
        <v>4242</v>
      </c>
      <c r="G1053" s="13" t="s">
        <v>27</v>
      </c>
      <c r="H1053" s="13" t="s">
        <v>4935</v>
      </c>
      <c r="I1053" s="13" t="s">
        <v>4936</v>
      </c>
      <c r="J1053" s="14">
        <f>74950230288</f>
      </c>
      <c r="K1053" s="9"/>
      <c r="L1053" s="13" t="s">
        <v>1334</v>
      </c>
      <c r="M1053" s="14">
        <v>123</v>
      </c>
      <c r="N1053" s="13" t="s">
        <v>1335</v>
      </c>
      <c r="O1053" s="13" t="s">
        <v>32</v>
      </c>
      <c r="P1053" s="13" t="s">
        <v>32</v>
      </c>
      <c r="Q1053" s="14" t="s">
        <v>58</v>
      </c>
      <c r="R1053" s="13" t="s">
        <v>33</v>
      </c>
      <c r="S1053" s="13" t="s">
        <v>47</v>
      </c>
      <c r="T1053" s="15">
        <v>3</v>
      </c>
      <c r="U1053" s="13"/>
      <c r="V1053" s="15">
        <v>0</v>
      </c>
      <c r="W1053" s="13" t="s">
        <v>48</v>
      </c>
      <c r="X1053" s="15" t="s">
        <v>712</v>
      </c>
      <c r="Y1053" s="13" t="s">
        <v>37</v>
      </c>
    </row>
    <row x14ac:dyDescent="0.25" r="1054" customHeight="1" ht="18.75">
      <c r="A1054" s="5">
        <v>74021922</v>
      </c>
      <c r="B1054" s="6">
        <v>4254</v>
      </c>
      <c r="C1054" s="7" t="s">
        <v>4937</v>
      </c>
      <c r="D1054" s="7" t="s">
        <v>4938</v>
      </c>
      <c r="E1054" s="8">
        <v>74021922</v>
      </c>
      <c r="F1054" s="8">
        <v>4254</v>
      </c>
      <c r="G1054" s="7" t="s">
        <v>27</v>
      </c>
      <c r="H1054" s="7" t="s">
        <v>4939</v>
      </c>
      <c r="I1054" s="7" t="s">
        <v>4940</v>
      </c>
      <c r="J1054" s="8">
        <f>79146801230</f>
      </c>
      <c r="K1054" s="9"/>
      <c r="L1054" s="7" t="s">
        <v>721</v>
      </c>
      <c r="M1054" s="8">
        <v>115</v>
      </c>
      <c r="N1054" s="7" t="s">
        <v>1376</v>
      </c>
      <c r="O1054" s="7" t="s">
        <v>723</v>
      </c>
      <c r="P1054" s="7" t="s">
        <v>724</v>
      </c>
      <c r="Q1054" s="8" t="s">
        <v>4938</v>
      </c>
      <c r="R1054" s="7" t="s">
        <v>33</v>
      </c>
      <c r="S1054" s="7" t="s">
        <v>47</v>
      </c>
      <c r="T1054" s="10">
        <v>3</v>
      </c>
      <c r="U1054" s="7"/>
      <c r="V1054" s="10">
        <v>0</v>
      </c>
      <c r="W1054" s="7" t="s">
        <v>48</v>
      </c>
      <c r="X1054" s="10" t="s">
        <v>712</v>
      </c>
      <c r="Y1054" s="7" t="s">
        <v>59</v>
      </c>
    </row>
    <row x14ac:dyDescent="0.25" r="1055" customHeight="1" ht="18.75">
      <c r="A1055" s="11">
        <v>74021921</v>
      </c>
      <c r="B1055" s="12">
        <v>4255</v>
      </c>
      <c r="C1055" s="13" t="s">
        <v>4941</v>
      </c>
      <c r="D1055" s="13" t="s">
        <v>4942</v>
      </c>
      <c r="E1055" s="14">
        <v>74021921</v>
      </c>
      <c r="F1055" s="14">
        <v>4255</v>
      </c>
      <c r="G1055" s="13" t="s">
        <v>27</v>
      </c>
      <c r="H1055" s="13" t="s">
        <v>4943</v>
      </c>
      <c r="I1055" s="13" t="s">
        <v>4944</v>
      </c>
      <c r="J1055" s="14">
        <f>74232728720</f>
      </c>
      <c r="K1055" s="9"/>
      <c r="L1055" s="13" t="s">
        <v>721</v>
      </c>
      <c r="M1055" s="14">
        <v>115</v>
      </c>
      <c r="N1055" s="13" t="s">
        <v>1376</v>
      </c>
      <c r="O1055" s="13" t="s">
        <v>723</v>
      </c>
      <c r="P1055" s="13" t="s">
        <v>724</v>
      </c>
      <c r="Q1055" s="14" t="s">
        <v>4945</v>
      </c>
      <c r="R1055" s="13" t="s">
        <v>33</v>
      </c>
      <c r="S1055" s="13" t="s">
        <v>47</v>
      </c>
      <c r="T1055" s="15">
        <v>3</v>
      </c>
      <c r="U1055" s="13"/>
      <c r="V1055" s="15">
        <v>0</v>
      </c>
      <c r="W1055" s="13" t="s">
        <v>48</v>
      </c>
      <c r="X1055" s="15" t="s">
        <v>712</v>
      </c>
      <c r="Y1055" s="13" t="s">
        <v>59</v>
      </c>
    </row>
    <row x14ac:dyDescent="0.25" r="1056" customHeight="1" ht="18.75">
      <c r="A1056" s="5">
        <v>74021920</v>
      </c>
      <c r="B1056" s="6">
        <v>4256</v>
      </c>
      <c r="C1056" s="7" t="s">
        <v>4946</v>
      </c>
      <c r="D1056" s="7" t="s">
        <v>4947</v>
      </c>
      <c r="E1056" s="8">
        <v>74021920</v>
      </c>
      <c r="F1056" s="8">
        <v>4256</v>
      </c>
      <c r="G1056" s="7" t="s">
        <v>27</v>
      </c>
      <c r="H1056" s="7" t="s">
        <v>4948</v>
      </c>
      <c r="I1056" s="7" t="s">
        <v>4949</v>
      </c>
      <c r="J1056" s="8">
        <f>74212730326</f>
      </c>
      <c r="K1056" s="9"/>
      <c r="L1056" s="7" t="s">
        <v>721</v>
      </c>
      <c r="M1056" s="8">
        <v>116</v>
      </c>
      <c r="N1056" s="7" t="s">
        <v>1269</v>
      </c>
      <c r="O1056" s="7" t="s">
        <v>723</v>
      </c>
      <c r="P1056" s="7" t="s">
        <v>1270</v>
      </c>
      <c r="Q1056" s="8" t="s">
        <v>4950</v>
      </c>
      <c r="R1056" s="7" t="s">
        <v>33</v>
      </c>
      <c r="S1056" s="7" t="s">
        <v>47</v>
      </c>
      <c r="T1056" s="10">
        <v>3</v>
      </c>
      <c r="U1056" s="7"/>
      <c r="V1056" s="10">
        <v>0</v>
      </c>
      <c r="W1056" s="7" t="s">
        <v>48</v>
      </c>
      <c r="X1056" s="10" t="s">
        <v>712</v>
      </c>
      <c r="Y1056" s="7" t="s">
        <v>37</v>
      </c>
    </row>
    <row x14ac:dyDescent="0.25" r="1057" customHeight="1" ht="18.75">
      <c r="A1057" s="11">
        <v>74021926</v>
      </c>
      <c r="B1057" s="12">
        <v>4257</v>
      </c>
      <c r="C1057" s="13" t="s">
        <v>4951</v>
      </c>
      <c r="D1057" s="13" t="s">
        <v>4952</v>
      </c>
      <c r="E1057" s="14">
        <v>74021926</v>
      </c>
      <c r="F1057" s="14">
        <v>4257</v>
      </c>
      <c r="G1057" s="13" t="s">
        <v>27</v>
      </c>
      <c r="H1057" s="13" t="s">
        <v>4953</v>
      </c>
      <c r="I1057" s="13" t="s">
        <v>4954</v>
      </c>
      <c r="J1057" s="14">
        <f>79250186822</f>
      </c>
      <c r="K1057" s="9"/>
      <c r="L1057" s="13" t="s">
        <v>544</v>
      </c>
      <c r="M1057" s="14">
        <v>74</v>
      </c>
      <c r="N1057" s="13" t="s">
        <v>545</v>
      </c>
      <c r="O1057" s="13" t="s">
        <v>232</v>
      </c>
      <c r="P1057" s="13" t="s">
        <v>4457</v>
      </c>
      <c r="Q1057" s="14" t="s">
        <v>58</v>
      </c>
      <c r="R1057" s="13" t="s">
        <v>33</v>
      </c>
      <c r="S1057" s="13" t="s">
        <v>47</v>
      </c>
      <c r="T1057" s="15">
        <v>3</v>
      </c>
      <c r="U1057" s="13"/>
      <c r="V1057" s="15">
        <v>0</v>
      </c>
      <c r="W1057" s="13" t="s">
        <v>48</v>
      </c>
      <c r="X1057" s="15" t="s">
        <v>712</v>
      </c>
      <c r="Y1057" s="13" t="s">
        <v>84</v>
      </c>
    </row>
    <row x14ac:dyDescent="0.25" r="1058" customHeight="1" ht="18.75">
      <c r="A1058" s="5">
        <v>74021927</v>
      </c>
      <c r="B1058" s="6">
        <v>4258</v>
      </c>
      <c r="C1058" s="7" t="s">
        <v>4955</v>
      </c>
      <c r="D1058" s="7" t="s">
        <v>4956</v>
      </c>
      <c r="E1058" s="8">
        <v>74021927</v>
      </c>
      <c r="F1058" s="8">
        <v>4258</v>
      </c>
      <c r="G1058" s="7" t="s">
        <v>27</v>
      </c>
      <c r="H1058" s="7" t="s">
        <v>4957</v>
      </c>
      <c r="I1058" s="7" t="s">
        <v>4958</v>
      </c>
      <c r="J1058" s="8">
        <f>79250011989</f>
      </c>
      <c r="K1058" s="9"/>
      <c r="L1058" s="7" t="s">
        <v>544</v>
      </c>
      <c r="M1058" s="8">
        <v>74</v>
      </c>
      <c r="N1058" s="7" t="s">
        <v>545</v>
      </c>
      <c r="O1058" s="7" t="s">
        <v>32</v>
      </c>
      <c r="P1058" s="7" t="s">
        <v>32</v>
      </c>
      <c r="Q1058" s="8" t="s">
        <v>58</v>
      </c>
      <c r="R1058" s="7" t="s">
        <v>33</v>
      </c>
      <c r="S1058" s="7" t="s">
        <v>47</v>
      </c>
      <c r="T1058" s="10">
        <v>3</v>
      </c>
      <c r="U1058" s="7"/>
      <c r="V1058" s="10">
        <v>0</v>
      </c>
      <c r="W1058" s="7" t="s">
        <v>48</v>
      </c>
      <c r="X1058" s="10" t="s">
        <v>895</v>
      </c>
      <c r="Y1058" s="7" t="s">
        <v>59</v>
      </c>
    </row>
    <row x14ac:dyDescent="0.25" r="1059" customHeight="1" ht="18.75">
      <c r="A1059" s="11">
        <v>74021928</v>
      </c>
      <c r="B1059" s="12">
        <v>4261</v>
      </c>
      <c r="C1059" s="13" t="s">
        <v>4959</v>
      </c>
      <c r="D1059" s="13" t="s">
        <v>4960</v>
      </c>
      <c r="E1059" s="14">
        <v>74021928</v>
      </c>
      <c r="F1059" s="14">
        <v>4261</v>
      </c>
      <c r="G1059" s="13" t="s">
        <v>27</v>
      </c>
      <c r="H1059" s="13" t="s">
        <v>4961</v>
      </c>
      <c r="I1059" s="13" t="s">
        <v>4962</v>
      </c>
      <c r="J1059" s="13" t="s">
        <v>467</v>
      </c>
      <c r="K1059" s="14">
        <v>34</v>
      </c>
      <c r="L1059" s="13" t="s">
        <v>94</v>
      </c>
      <c r="M1059" s="14">
        <v>100410</v>
      </c>
      <c r="N1059" s="13" t="s">
        <v>4963</v>
      </c>
      <c r="O1059" s="13" t="s">
        <v>96</v>
      </c>
      <c r="P1059" s="13" t="s">
        <v>220</v>
      </c>
      <c r="Q1059" s="14" t="s">
        <v>58</v>
      </c>
      <c r="R1059" s="13" t="s">
        <v>33</v>
      </c>
      <c r="S1059" s="13" t="s">
        <v>47</v>
      </c>
      <c r="T1059" s="15">
        <v>3</v>
      </c>
      <c r="U1059" s="13"/>
      <c r="V1059" s="15">
        <v>0</v>
      </c>
      <c r="W1059" s="13" t="s">
        <v>48</v>
      </c>
      <c r="X1059" s="15" t="s">
        <v>65</v>
      </c>
      <c r="Y1059" s="13" t="s">
        <v>59</v>
      </c>
    </row>
    <row x14ac:dyDescent="0.25" r="1060" customHeight="1" ht="18.75">
      <c r="A1060" s="5">
        <v>74021930</v>
      </c>
      <c r="B1060" s="6">
        <v>4271</v>
      </c>
      <c r="C1060" s="7" t="s">
        <v>4964</v>
      </c>
      <c r="D1060" s="7" t="s">
        <v>4965</v>
      </c>
      <c r="E1060" s="8">
        <v>74021930</v>
      </c>
      <c r="F1060" s="8">
        <v>4271</v>
      </c>
      <c r="G1060" s="7" t="s">
        <v>27</v>
      </c>
      <c r="H1060" s="7" t="s">
        <v>4966</v>
      </c>
      <c r="I1060" s="7" t="s">
        <v>4967</v>
      </c>
      <c r="J1060" s="8">
        <f>79250230545</f>
      </c>
      <c r="K1060" s="9"/>
      <c r="L1060" s="7" t="s">
        <v>544</v>
      </c>
      <c r="M1060" s="8">
        <v>74</v>
      </c>
      <c r="N1060" s="7" t="s">
        <v>545</v>
      </c>
      <c r="O1060" s="7" t="s">
        <v>232</v>
      </c>
      <c r="P1060" s="7" t="s">
        <v>4968</v>
      </c>
      <c r="Q1060" s="8" t="s">
        <v>182</v>
      </c>
      <c r="R1060" s="7" t="s">
        <v>33</v>
      </c>
      <c r="S1060" s="7" t="s">
        <v>47</v>
      </c>
      <c r="T1060" s="10">
        <v>3</v>
      </c>
      <c r="U1060" s="7"/>
      <c r="V1060" s="10">
        <v>0</v>
      </c>
      <c r="W1060" s="7" t="s">
        <v>48</v>
      </c>
      <c r="X1060" s="10" t="s">
        <v>712</v>
      </c>
      <c r="Y1060" s="7" t="s">
        <v>84</v>
      </c>
    </row>
    <row x14ac:dyDescent="0.25" r="1061" customHeight="1" ht="18.75">
      <c r="A1061" s="11">
        <v>74021932</v>
      </c>
      <c r="B1061" s="12">
        <v>4301</v>
      </c>
      <c r="C1061" s="13" t="s">
        <v>4969</v>
      </c>
      <c r="D1061" s="13" t="s">
        <v>4970</v>
      </c>
      <c r="E1061" s="14">
        <v>74021932</v>
      </c>
      <c r="F1061" s="14">
        <v>4301</v>
      </c>
      <c r="G1061" s="13" t="s">
        <v>27</v>
      </c>
      <c r="H1061" s="13" t="s">
        <v>4971</v>
      </c>
      <c r="I1061" s="13" t="s">
        <v>4972</v>
      </c>
      <c r="J1061" s="14">
        <f>78412235888</f>
      </c>
      <c r="K1061" s="14">
        <v>8</v>
      </c>
      <c r="L1061" s="13" t="s">
        <v>146</v>
      </c>
      <c r="M1061" s="14">
        <v>53</v>
      </c>
      <c r="N1061" s="13" t="s">
        <v>147</v>
      </c>
      <c r="O1061" s="13" t="s">
        <v>44</v>
      </c>
      <c r="P1061" s="13" t="s">
        <v>4973</v>
      </c>
      <c r="Q1061" s="14" t="s">
        <v>4974</v>
      </c>
      <c r="R1061" s="13" t="s">
        <v>33</v>
      </c>
      <c r="S1061" s="13" t="s">
        <v>47</v>
      </c>
      <c r="T1061" s="15">
        <v>3</v>
      </c>
      <c r="U1061" s="13"/>
      <c r="V1061" s="15">
        <v>0</v>
      </c>
      <c r="W1061" s="13" t="s">
        <v>48</v>
      </c>
      <c r="X1061" s="15" t="s">
        <v>36</v>
      </c>
      <c r="Y1061" s="13" t="s">
        <v>84</v>
      </c>
    </row>
    <row x14ac:dyDescent="0.25" r="1062" customHeight="1" ht="18.75">
      <c r="A1062" s="5">
        <v>74321836</v>
      </c>
      <c r="B1062" s="6">
        <v>4302</v>
      </c>
      <c r="C1062" s="7" t="s">
        <v>4975</v>
      </c>
      <c r="D1062" s="7" t="s">
        <v>4976</v>
      </c>
      <c r="E1062" s="8">
        <v>74321836</v>
      </c>
      <c r="F1062" s="8">
        <v>4302</v>
      </c>
      <c r="G1062" s="7" t="s">
        <v>27</v>
      </c>
      <c r="H1062" s="7" t="s">
        <v>4977</v>
      </c>
      <c r="I1062" s="7" t="s">
        <v>4978</v>
      </c>
      <c r="J1062" s="8">
        <f>74952408424</f>
      </c>
      <c r="K1062" s="8">
        <v>6651</v>
      </c>
      <c r="L1062" s="7" t="s">
        <v>1276</v>
      </c>
      <c r="M1062" s="8">
        <v>105</v>
      </c>
      <c r="N1062" s="7" t="s">
        <v>1277</v>
      </c>
      <c r="O1062" s="7" t="s">
        <v>96</v>
      </c>
      <c r="P1062" s="7" t="s">
        <v>2197</v>
      </c>
      <c r="Q1062" s="8" t="s">
        <v>182</v>
      </c>
      <c r="R1062" s="7" t="s">
        <v>33</v>
      </c>
      <c r="S1062" s="7" t="s">
        <v>47</v>
      </c>
      <c r="T1062" s="10">
        <v>4</v>
      </c>
      <c r="U1062" s="7"/>
      <c r="V1062" s="10">
        <v>0</v>
      </c>
      <c r="W1062" s="7" t="s">
        <v>48</v>
      </c>
      <c r="X1062" s="10" t="s">
        <v>65</v>
      </c>
      <c r="Y1062" s="7" t="s">
        <v>59</v>
      </c>
    </row>
    <row x14ac:dyDescent="0.25" r="1063" customHeight="1" ht="18.75">
      <c r="A1063" s="11">
        <v>74321839</v>
      </c>
      <c r="B1063" s="12">
        <v>4321</v>
      </c>
      <c r="C1063" s="13" t="s">
        <v>4979</v>
      </c>
      <c r="D1063" s="13" t="s">
        <v>4980</v>
      </c>
      <c r="E1063" s="14">
        <v>74321839</v>
      </c>
      <c r="F1063" s="14">
        <v>4321</v>
      </c>
      <c r="G1063" s="13" t="s">
        <v>27</v>
      </c>
      <c r="H1063" s="13" t="s">
        <v>4981</v>
      </c>
      <c r="I1063" s="13" t="s">
        <v>4982</v>
      </c>
      <c r="J1063" s="13" t="s">
        <v>467</v>
      </c>
      <c r="K1063" s="14">
        <v>645</v>
      </c>
      <c r="L1063" s="13" t="s">
        <v>1276</v>
      </c>
      <c r="M1063" s="14">
        <v>105</v>
      </c>
      <c r="N1063" s="13" t="s">
        <v>1277</v>
      </c>
      <c r="O1063" s="13" t="s">
        <v>44</v>
      </c>
      <c r="P1063" s="13" t="s">
        <v>4983</v>
      </c>
      <c r="Q1063" s="14" t="s">
        <v>58</v>
      </c>
      <c r="R1063" s="13" t="s">
        <v>33</v>
      </c>
      <c r="S1063" s="13" t="s">
        <v>47</v>
      </c>
      <c r="T1063" s="15">
        <v>3</v>
      </c>
      <c r="U1063" s="13"/>
      <c r="V1063" s="15">
        <v>0</v>
      </c>
      <c r="W1063" s="13" t="s">
        <v>48</v>
      </c>
      <c r="X1063" s="15" t="s">
        <v>65</v>
      </c>
      <c r="Y1063" s="13" t="s">
        <v>37</v>
      </c>
    </row>
    <row x14ac:dyDescent="0.25" r="1064" customHeight="1" ht="18.75">
      <c r="A1064" s="5">
        <v>74321840</v>
      </c>
      <c r="B1064" s="6">
        <v>4322</v>
      </c>
      <c r="C1064" s="7" t="s">
        <v>4984</v>
      </c>
      <c r="D1064" s="7" t="s">
        <v>4985</v>
      </c>
      <c r="E1064" s="8">
        <v>74321840</v>
      </c>
      <c r="F1064" s="8">
        <v>4322</v>
      </c>
      <c r="G1064" s="7" t="s">
        <v>27</v>
      </c>
      <c r="H1064" s="7" t="s">
        <v>4986</v>
      </c>
      <c r="I1064" s="7" t="s">
        <v>4987</v>
      </c>
      <c r="J1064" s="8">
        <f>74952408424</f>
      </c>
      <c r="K1064" s="8">
        <v>6646</v>
      </c>
      <c r="L1064" s="7" t="s">
        <v>1276</v>
      </c>
      <c r="M1064" s="8">
        <v>105</v>
      </c>
      <c r="N1064" s="7" t="s">
        <v>1277</v>
      </c>
      <c r="O1064" s="7" t="s">
        <v>44</v>
      </c>
      <c r="P1064" s="7" t="s">
        <v>4983</v>
      </c>
      <c r="Q1064" s="8" t="s">
        <v>58</v>
      </c>
      <c r="R1064" s="7" t="s">
        <v>33</v>
      </c>
      <c r="S1064" s="7" t="s">
        <v>47</v>
      </c>
      <c r="T1064" s="10">
        <v>3</v>
      </c>
      <c r="U1064" s="7"/>
      <c r="V1064" s="10">
        <v>0</v>
      </c>
      <c r="W1064" s="7" t="s">
        <v>48</v>
      </c>
      <c r="X1064" s="10" t="s">
        <v>65</v>
      </c>
      <c r="Y1064" s="7" t="s">
        <v>84</v>
      </c>
    </row>
    <row x14ac:dyDescent="0.25" r="1065" customHeight="1" ht="18.75">
      <c r="A1065" s="11">
        <v>74321842</v>
      </c>
      <c r="B1065" s="12">
        <v>4332</v>
      </c>
      <c r="C1065" s="13" t="s">
        <v>4988</v>
      </c>
      <c r="D1065" s="13" t="s">
        <v>4989</v>
      </c>
      <c r="E1065" s="14">
        <v>74321842</v>
      </c>
      <c r="F1065" s="14">
        <v>4332</v>
      </c>
      <c r="G1065" s="13" t="s">
        <v>27</v>
      </c>
      <c r="H1065" s="13" t="s">
        <v>4990</v>
      </c>
      <c r="I1065" s="13" t="s">
        <v>4991</v>
      </c>
      <c r="J1065" s="14">
        <f>74952408424</f>
      </c>
      <c r="K1065" s="14">
        <v>6647</v>
      </c>
      <c r="L1065" s="13" t="s">
        <v>1276</v>
      </c>
      <c r="M1065" s="14">
        <v>105</v>
      </c>
      <c r="N1065" s="13" t="s">
        <v>1277</v>
      </c>
      <c r="O1065" s="13" t="s">
        <v>82</v>
      </c>
      <c r="P1065" s="13" t="s">
        <v>1178</v>
      </c>
      <c r="Q1065" s="14" t="s">
        <v>905</v>
      </c>
      <c r="R1065" s="13" t="s">
        <v>33</v>
      </c>
      <c r="S1065" s="13" t="s">
        <v>47</v>
      </c>
      <c r="T1065" s="15">
        <v>3</v>
      </c>
      <c r="U1065" s="13"/>
      <c r="V1065" s="15">
        <v>0</v>
      </c>
      <c r="W1065" s="13" t="s">
        <v>48</v>
      </c>
      <c r="X1065" s="15" t="s">
        <v>65</v>
      </c>
      <c r="Y1065" s="13" t="s">
        <v>37</v>
      </c>
    </row>
    <row x14ac:dyDescent="0.25" r="1066" customHeight="1" ht="18.75">
      <c r="A1066" s="5">
        <v>74321843</v>
      </c>
      <c r="B1066" s="6">
        <v>4351</v>
      </c>
      <c r="C1066" s="7" t="s">
        <v>4992</v>
      </c>
      <c r="D1066" s="7" t="s">
        <v>4993</v>
      </c>
      <c r="E1066" s="8">
        <v>74321843</v>
      </c>
      <c r="F1066" s="8">
        <v>4351</v>
      </c>
      <c r="G1066" s="7" t="s">
        <v>27</v>
      </c>
      <c r="H1066" s="7" t="s">
        <v>4994</v>
      </c>
      <c r="I1066" s="7" t="s">
        <v>4995</v>
      </c>
      <c r="J1066" s="8">
        <f>74952408424</f>
      </c>
      <c r="K1066" s="8">
        <v>9648</v>
      </c>
      <c r="L1066" s="7" t="s">
        <v>1276</v>
      </c>
      <c r="M1066" s="8">
        <v>105</v>
      </c>
      <c r="N1066" s="7" t="s">
        <v>1277</v>
      </c>
      <c r="O1066" s="7" t="s">
        <v>44</v>
      </c>
      <c r="P1066" s="7" t="s">
        <v>4996</v>
      </c>
      <c r="Q1066" s="8" t="s">
        <v>58</v>
      </c>
      <c r="R1066" s="7" t="s">
        <v>33</v>
      </c>
      <c r="S1066" s="7" t="s">
        <v>47</v>
      </c>
      <c r="T1066" s="10">
        <v>2</v>
      </c>
      <c r="U1066" s="7"/>
      <c r="V1066" s="10">
        <v>0</v>
      </c>
      <c r="W1066" s="7" t="s">
        <v>48</v>
      </c>
      <c r="X1066" s="10" t="s">
        <v>65</v>
      </c>
      <c r="Y1066" s="7" t="s">
        <v>37</v>
      </c>
    </row>
    <row x14ac:dyDescent="0.25" r="1067" customHeight="1" ht="18.75">
      <c r="A1067" s="11">
        <v>74021937</v>
      </c>
      <c r="B1067" s="12">
        <v>4361</v>
      </c>
      <c r="C1067" s="13" t="s">
        <v>4997</v>
      </c>
      <c r="D1067" s="13" t="s">
        <v>4998</v>
      </c>
      <c r="E1067" s="14">
        <v>74021937</v>
      </c>
      <c r="F1067" s="14">
        <v>4361</v>
      </c>
      <c r="G1067" s="13" t="s">
        <v>27</v>
      </c>
      <c r="H1067" s="13" t="s">
        <v>4999</v>
      </c>
      <c r="I1067" s="13" t="s">
        <v>5000</v>
      </c>
      <c r="J1067" s="14">
        <f>73492259155</f>
      </c>
      <c r="K1067" s="9"/>
      <c r="L1067" s="13" t="s">
        <v>508</v>
      </c>
      <c r="M1067" s="14">
        <v>100312</v>
      </c>
      <c r="N1067" s="13" t="s">
        <v>509</v>
      </c>
      <c r="O1067" s="13" t="s">
        <v>510</v>
      </c>
      <c r="P1067" s="13" t="s">
        <v>5001</v>
      </c>
      <c r="Q1067" s="14" t="s">
        <v>5002</v>
      </c>
      <c r="R1067" s="13" t="s">
        <v>33</v>
      </c>
      <c r="S1067" s="13" t="s">
        <v>47</v>
      </c>
      <c r="T1067" s="15">
        <v>4</v>
      </c>
      <c r="U1067" s="13"/>
      <c r="V1067" s="15">
        <v>0</v>
      </c>
      <c r="W1067" s="13" t="s">
        <v>48</v>
      </c>
      <c r="X1067" s="15" t="s">
        <v>36</v>
      </c>
      <c r="Y1067" s="13" t="s">
        <v>37</v>
      </c>
    </row>
    <row x14ac:dyDescent="0.25" r="1068" customHeight="1" ht="18.75">
      <c r="A1068" s="5">
        <v>74021938</v>
      </c>
      <c r="B1068" s="6">
        <v>4362</v>
      </c>
      <c r="C1068" s="7" t="s">
        <v>5003</v>
      </c>
      <c r="D1068" s="7" t="s">
        <v>5004</v>
      </c>
      <c r="E1068" s="8">
        <v>74021938</v>
      </c>
      <c r="F1068" s="8">
        <v>4362</v>
      </c>
      <c r="G1068" s="7" t="s">
        <v>27</v>
      </c>
      <c r="H1068" s="7" t="s">
        <v>5005</v>
      </c>
      <c r="I1068" s="7" t="s">
        <v>5006</v>
      </c>
      <c r="J1068" s="8">
        <f>79246190240</f>
      </c>
      <c r="K1068" s="9"/>
      <c r="L1068" s="7" t="s">
        <v>508</v>
      </c>
      <c r="M1068" s="8">
        <v>100311</v>
      </c>
      <c r="N1068" s="7" t="s">
        <v>4778</v>
      </c>
      <c r="O1068" s="7" t="s">
        <v>73</v>
      </c>
      <c r="P1068" s="7" t="s">
        <v>5007</v>
      </c>
      <c r="Q1068" s="8" t="s">
        <v>1742</v>
      </c>
      <c r="R1068" s="7" t="s">
        <v>33</v>
      </c>
      <c r="S1068" s="7" t="s">
        <v>47</v>
      </c>
      <c r="T1068" s="10">
        <v>3</v>
      </c>
      <c r="U1068" s="7"/>
      <c r="V1068" s="10">
        <v>0</v>
      </c>
      <c r="W1068" s="7" t="s">
        <v>48</v>
      </c>
      <c r="X1068" s="10" t="s">
        <v>65</v>
      </c>
      <c r="Y1068" s="7" t="s">
        <v>37</v>
      </c>
    </row>
    <row x14ac:dyDescent="0.25" r="1069" customHeight="1" ht="18.75">
      <c r="A1069" s="11">
        <v>74021939</v>
      </c>
      <c r="B1069" s="12">
        <v>4371</v>
      </c>
      <c r="C1069" s="13" t="s">
        <v>5008</v>
      </c>
      <c r="D1069" s="13" t="s">
        <v>5009</v>
      </c>
      <c r="E1069" s="14">
        <v>74021939</v>
      </c>
      <c r="F1069" s="14">
        <v>4371</v>
      </c>
      <c r="G1069" s="13" t="s">
        <v>27</v>
      </c>
      <c r="H1069" s="13" t="s">
        <v>5010</v>
      </c>
      <c r="I1069" s="13" t="s">
        <v>5011</v>
      </c>
      <c r="J1069" s="13" t="s">
        <v>5012</v>
      </c>
      <c r="K1069" s="9"/>
      <c r="L1069" s="13" t="s">
        <v>266</v>
      </c>
      <c r="M1069" s="14">
        <v>224</v>
      </c>
      <c r="N1069" s="13" t="s">
        <v>5013</v>
      </c>
      <c r="O1069" s="13" t="s">
        <v>32</v>
      </c>
      <c r="P1069" s="13" t="s">
        <v>32</v>
      </c>
      <c r="Q1069" s="14" t="s">
        <v>5014</v>
      </c>
      <c r="R1069" s="13" t="s">
        <v>33</v>
      </c>
      <c r="S1069" s="13" t="s">
        <v>47</v>
      </c>
      <c r="T1069" s="15">
        <v>3</v>
      </c>
      <c r="U1069" s="13"/>
      <c r="V1069" s="15">
        <v>0</v>
      </c>
      <c r="W1069" s="13" t="s">
        <v>48</v>
      </c>
      <c r="X1069" s="15" t="s">
        <v>3287</v>
      </c>
      <c r="Y1069" s="13" t="s">
        <v>59</v>
      </c>
    </row>
    <row x14ac:dyDescent="0.25" r="1070" customHeight="1" ht="18.75">
      <c r="A1070" s="5">
        <v>74021942</v>
      </c>
      <c r="B1070" s="6">
        <v>4401</v>
      </c>
      <c r="C1070" s="7" t="s">
        <v>5015</v>
      </c>
      <c r="D1070" s="7" t="s">
        <v>5016</v>
      </c>
      <c r="E1070" s="8">
        <v>74021942</v>
      </c>
      <c r="F1070" s="8">
        <v>4401</v>
      </c>
      <c r="G1070" s="7" t="s">
        <v>27</v>
      </c>
      <c r="H1070" s="7" t="s">
        <v>5017</v>
      </c>
      <c r="I1070" s="7" t="s">
        <v>5018</v>
      </c>
      <c r="J1070" s="8">
        <f>73845120790</f>
      </c>
      <c r="K1070" s="9"/>
      <c r="L1070" s="7" t="s">
        <v>415</v>
      </c>
      <c r="M1070" s="8">
        <v>157</v>
      </c>
      <c r="N1070" s="7" t="s">
        <v>416</v>
      </c>
      <c r="O1070" s="7" t="s">
        <v>73</v>
      </c>
      <c r="P1070" s="7" t="s">
        <v>5019</v>
      </c>
      <c r="Q1070" s="8" t="s">
        <v>5020</v>
      </c>
      <c r="R1070" s="7" t="s">
        <v>33</v>
      </c>
      <c r="S1070" s="7" t="s">
        <v>47</v>
      </c>
      <c r="T1070" s="10">
        <v>3</v>
      </c>
      <c r="U1070" s="7"/>
      <c r="V1070" s="10">
        <v>0</v>
      </c>
      <c r="W1070" s="7" t="s">
        <v>48</v>
      </c>
      <c r="X1070" s="10" t="s">
        <v>36</v>
      </c>
      <c r="Y1070" s="7" t="s">
        <v>37</v>
      </c>
    </row>
    <row x14ac:dyDescent="0.25" r="1071" customHeight="1" ht="18.75">
      <c r="A1071" s="11">
        <v>74021943</v>
      </c>
      <c r="B1071" s="12">
        <v>4403</v>
      </c>
      <c r="C1071" s="13" t="s">
        <v>5021</v>
      </c>
      <c r="D1071" s="13" t="s">
        <v>5022</v>
      </c>
      <c r="E1071" s="14">
        <v>74021943</v>
      </c>
      <c r="F1071" s="14">
        <v>4403</v>
      </c>
      <c r="G1071" s="13" t="s">
        <v>27</v>
      </c>
      <c r="H1071" s="13" t="s">
        <v>5023</v>
      </c>
      <c r="I1071" s="13" t="s">
        <v>5024</v>
      </c>
      <c r="J1071" s="14">
        <f>73422545255</f>
      </c>
      <c r="K1071" s="9"/>
      <c r="L1071" s="13" t="s">
        <v>42</v>
      </c>
      <c r="M1071" s="14">
        <v>172</v>
      </c>
      <c r="N1071" s="13" t="s">
        <v>2128</v>
      </c>
      <c r="O1071" s="13" t="s">
        <v>96</v>
      </c>
      <c r="P1071" s="13" t="s">
        <v>978</v>
      </c>
      <c r="Q1071" s="14" t="s">
        <v>5025</v>
      </c>
      <c r="R1071" s="13" t="s">
        <v>33</v>
      </c>
      <c r="S1071" s="13" t="s">
        <v>47</v>
      </c>
      <c r="T1071" s="15">
        <v>3</v>
      </c>
      <c r="U1071" s="13"/>
      <c r="V1071" s="15">
        <v>0</v>
      </c>
      <c r="W1071" s="13" t="s">
        <v>48</v>
      </c>
      <c r="X1071" s="15" t="s">
        <v>36</v>
      </c>
      <c r="Y1071" s="13" t="s">
        <v>59</v>
      </c>
    </row>
    <row x14ac:dyDescent="0.25" r="1072" customHeight="1" ht="18.75">
      <c r="A1072" s="5">
        <v>74021944</v>
      </c>
      <c r="B1072" s="6">
        <v>4431</v>
      </c>
      <c r="C1072" s="7" t="s">
        <v>5026</v>
      </c>
      <c r="D1072" s="7" t="s">
        <v>5027</v>
      </c>
      <c r="E1072" s="8">
        <v>74021944</v>
      </c>
      <c r="F1072" s="8">
        <v>4431</v>
      </c>
      <c r="G1072" s="7" t="s">
        <v>27</v>
      </c>
      <c r="H1072" s="7" t="s">
        <v>5028</v>
      </c>
      <c r="I1072" s="7" t="s">
        <v>5029</v>
      </c>
      <c r="J1072" s="8">
        <f>78452659958</f>
      </c>
      <c r="K1072" s="9"/>
      <c r="L1072" s="7" t="s">
        <v>327</v>
      </c>
      <c r="M1072" s="8">
        <v>100623</v>
      </c>
      <c r="N1072" s="7" t="s">
        <v>328</v>
      </c>
      <c r="O1072" s="7" t="s">
        <v>44</v>
      </c>
      <c r="P1072" s="7" t="s">
        <v>329</v>
      </c>
      <c r="Q1072" s="8" t="s">
        <v>3932</v>
      </c>
      <c r="R1072" s="7" t="s">
        <v>33</v>
      </c>
      <c r="S1072" s="7" t="s">
        <v>47</v>
      </c>
      <c r="T1072" s="10">
        <v>3</v>
      </c>
      <c r="U1072" s="7"/>
      <c r="V1072" s="10">
        <v>0</v>
      </c>
      <c r="W1072" s="7" t="s">
        <v>48</v>
      </c>
      <c r="X1072" s="10" t="s">
        <v>36</v>
      </c>
      <c r="Y1072" s="7" t="s">
        <v>37</v>
      </c>
    </row>
    <row x14ac:dyDescent="0.25" r="1073" customHeight="1" ht="18.75">
      <c r="A1073" s="11">
        <v>74021945</v>
      </c>
      <c r="B1073" s="12">
        <v>4461</v>
      </c>
      <c r="C1073" s="13" t="s">
        <v>5030</v>
      </c>
      <c r="D1073" s="13" t="s">
        <v>5031</v>
      </c>
      <c r="E1073" s="14">
        <v>74021945</v>
      </c>
      <c r="F1073" s="14">
        <v>4461</v>
      </c>
      <c r="G1073" s="13" t="s">
        <v>27</v>
      </c>
      <c r="H1073" s="13" t="s">
        <v>5032</v>
      </c>
      <c r="I1073" s="13" t="s">
        <v>5033</v>
      </c>
      <c r="J1073" s="14">
        <f>79250017651</f>
      </c>
      <c r="K1073" s="9"/>
      <c r="L1073" s="13" t="s">
        <v>544</v>
      </c>
      <c r="M1073" s="14">
        <v>74</v>
      </c>
      <c r="N1073" s="13" t="s">
        <v>545</v>
      </c>
      <c r="O1073" s="13" t="s">
        <v>232</v>
      </c>
      <c r="P1073" s="13" t="s">
        <v>4457</v>
      </c>
      <c r="Q1073" s="14" t="s">
        <v>58</v>
      </c>
      <c r="R1073" s="13" t="s">
        <v>33</v>
      </c>
      <c r="S1073" s="13" t="s">
        <v>47</v>
      </c>
      <c r="T1073" s="15">
        <v>3</v>
      </c>
      <c r="U1073" s="13"/>
      <c r="V1073" s="15">
        <v>0</v>
      </c>
      <c r="W1073" s="13" t="s">
        <v>48</v>
      </c>
      <c r="X1073" s="15" t="s">
        <v>895</v>
      </c>
      <c r="Y1073" s="13" t="s">
        <v>37</v>
      </c>
    </row>
    <row x14ac:dyDescent="0.25" r="1074" customHeight="1" ht="18.75">
      <c r="A1074" s="5">
        <v>74021946</v>
      </c>
      <c r="B1074" s="6">
        <v>4462</v>
      </c>
      <c r="C1074" s="7" t="s">
        <v>5034</v>
      </c>
      <c r="D1074" s="7" t="s">
        <v>5035</v>
      </c>
      <c r="E1074" s="8">
        <v>74021946</v>
      </c>
      <c r="F1074" s="8">
        <v>4462</v>
      </c>
      <c r="G1074" s="7" t="s">
        <v>27</v>
      </c>
      <c r="H1074" s="7" t="s">
        <v>5036</v>
      </c>
      <c r="I1074" s="7" t="s">
        <v>5037</v>
      </c>
      <c r="J1074" s="8">
        <f>79250012351</f>
      </c>
      <c r="K1074" s="9"/>
      <c r="L1074" s="7" t="s">
        <v>544</v>
      </c>
      <c r="M1074" s="8">
        <v>74</v>
      </c>
      <c r="N1074" s="7" t="s">
        <v>545</v>
      </c>
      <c r="O1074" s="7" t="s">
        <v>232</v>
      </c>
      <c r="P1074" s="7" t="s">
        <v>4498</v>
      </c>
      <c r="Q1074" s="8" t="s">
        <v>58</v>
      </c>
      <c r="R1074" s="7" t="s">
        <v>33</v>
      </c>
      <c r="S1074" s="7" t="s">
        <v>47</v>
      </c>
      <c r="T1074" s="10">
        <v>3</v>
      </c>
      <c r="U1074" s="7"/>
      <c r="V1074" s="10">
        <v>0</v>
      </c>
      <c r="W1074" s="7" t="s">
        <v>48</v>
      </c>
      <c r="X1074" s="10" t="s">
        <v>895</v>
      </c>
      <c r="Y1074" s="7" t="s">
        <v>59</v>
      </c>
    </row>
    <row x14ac:dyDescent="0.25" r="1075" customHeight="1" ht="18.75">
      <c r="A1075" s="11">
        <v>74021948</v>
      </c>
      <c r="B1075" s="12">
        <v>4464</v>
      </c>
      <c r="C1075" s="13" t="s">
        <v>5038</v>
      </c>
      <c r="D1075" s="13" t="s">
        <v>5039</v>
      </c>
      <c r="E1075" s="14">
        <v>74021948</v>
      </c>
      <c r="F1075" s="14">
        <v>4464</v>
      </c>
      <c r="G1075" s="13" t="s">
        <v>27</v>
      </c>
      <c r="H1075" s="13" t="s">
        <v>5040</v>
      </c>
      <c r="I1075" s="13" t="s">
        <v>5041</v>
      </c>
      <c r="J1075" s="14">
        <f>79064695142</f>
      </c>
      <c r="K1075" s="9"/>
      <c r="L1075" s="13" t="s">
        <v>117</v>
      </c>
      <c r="M1075" s="14">
        <v>210</v>
      </c>
      <c r="N1075" s="13" t="s">
        <v>118</v>
      </c>
      <c r="O1075" s="13" t="s">
        <v>119</v>
      </c>
      <c r="P1075" s="13" t="s">
        <v>963</v>
      </c>
      <c r="Q1075" s="14" t="s">
        <v>58</v>
      </c>
      <c r="R1075" s="13" t="s">
        <v>33</v>
      </c>
      <c r="S1075" s="13" t="s">
        <v>47</v>
      </c>
      <c r="T1075" s="15">
        <v>3</v>
      </c>
      <c r="U1075" s="13"/>
      <c r="V1075" s="15">
        <v>0</v>
      </c>
      <c r="W1075" s="13" t="s">
        <v>48</v>
      </c>
      <c r="X1075" s="15" t="s">
        <v>895</v>
      </c>
      <c r="Y1075" s="13" t="s">
        <v>126</v>
      </c>
    </row>
    <row x14ac:dyDescent="0.25" r="1076" customHeight="1" ht="18.75">
      <c r="A1076" s="5">
        <v>74021949</v>
      </c>
      <c r="B1076" s="6">
        <v>4465</v>
      </c>
      <c r="C1076" s="7" t="s">
        <v>5042</v>
      </c>
      <c r="D1076" s="7" t="s">
        <v>5043</v>
      </c>
      <c r="E1076" s="8">
        <v>74021949</v>
      </c>
      <c r="F1076" s="8">
        <v>4465</v>
      </c>
      <c r="G1076" s="7" t="s">
        <v>27</v>
      </c>
      <c r="H1076" s="7" t="s">
        <v>5044</v>
      </c>
      <c r="I1076" s="7" t="s">
        <v>5045</v>
      </c>
      <c r="J1076" s="8">
        <f>79613315012</f>
      </c>
      <c r="K1076" s="9"/>
      <c r="L1076" s="7" t="s">
        <v>117</v>
      </c>
      <c r="M1076" s="8">
        <v>210</v>
      </c>
      <c r="N1076" s="7" t="s">
        <v>118</v>
      </c>
      <c r="O1076" s="7" t="s">
        <v>119</v>
      </c>
      <c r="P1076" s="7" t="s">
        <v>5046</v>
      </c>
      <c r="Q1076" s="8" t="s">
        <v>58</v>
      </c>
      <c r="R1076" s="7" t="s">
        <v>33</v>
      </c>
      <c r="S1076" s="7" t="s">
        <v>47</v>
      </c>
      <c r="T1076" s="10">
        <v>3</v>
      </c>
      <c r="U1076" s="7"/>
      <c r="V1076" s="10">
        <v>0</v>
      </c>
      <c r="W1076" s="7" t="s">
        <v>48</v>
      </c>
      <c r="X1076" s="10" t="s">
        <v>895</v>
      </c>
      <c r="Y1076" s="7" t="s">
        <v>126</v>
      </c>
    </row>
    <row x14ac:dyDescent="0.25" r="1077" customHeight="1" ht="18.75">
      <c r="A1077" s="11">
        <v>74021950</v>
      </c>
      <c r="B1077" s="12">
        <v>4466</v>
      </c>
      <c r="C1077" s="13" t="s">
        <v>5047</v>
      </c>
      <c r="D1077" s="13" t="s">
        <v>5048</v>
      </c>
      <c r="E1077" s="14">
        <v>74021950</v>
      </c>
      <c r="F1077" s="14">
        <v>4466</v>
      </c>
      <c r="G1077" s="13" t="s">
        <v>27</v>
      </c>
      <c r="H1077" s="13" t="s">
        <v>5049</v>
      </c>
      <c r="I1077" s="13" t="s">
        <v>5050</v>
      </c>
      <c r="J1077" s="14">
        <f>79064694568</f>
      </c>
      <c r="K1077" s="9"/>
      <c r="L1077" s="13" t="s">
        <v>117</v>
      </c>
      <c r="M1077" s="14">
        <v>210</v>
      </c>
      <c r="N1077" s="13" t="s">
        <v>118</v>
      </c>
      <c r="O1077" s="13" t="s">
        <v>119</v>
      </c>
      <c r="P1077" s="13" t="s">
        <v>5051</v>
      </c>
      <c r="Q1077" s="14" t="s">
        <v>58</v>
      </c>
      <c r="R1077" s="13" t="s">
        <v>33</v>
      </c>
      <c r="S1077" s="13" t="s">
        <v>47</v>
      </c>
      <c r="T1077" s="15">
        <v>3</v>
      </c>
      <c r="U1077" s="13"/>
      <c r="V1077" s="15">
        <v>0</v>
      </c>
      <c r="W1077" s="13" t="s">
        <v>48</v>
      </c>
      <c r="X1077" s="15" t="s">
        <v>712</v>
      </c>
      <c r="Y1077" s="13" t="s">
        <v>126</v>
      </c>
    </row>
    <row x14ac:dyDescent="0.25" r="1078" customHeight="1" ht="18.75">
      <c r="A1078" s="5">
        <v>74321845</v>
      </c>
      <c r="B1078" s="6">
        <v>4469</v>
      </c>
      <c r="C1078" s="7" t="s">
        <v>5052</v>
      </c>
      <c r="D1078" s="7" t="s">
        <v>5053</v>
      </c>
      <c r="E1078" s="8">
        <v>74321845</v>
      </c>
      <c r="F1078" s="8">
        <v>4469</v>
      </c>
      <c r="G1078" s="7" t="s">
        <v>27</v>
      </c>
      <c r="H1078" s="7" t="s">
        <v>5054</v>
      </c>
      <c r="I1078" s="7" t="s">
        <v>5055</v>
      </c>
      <c r="J1078" s="8">
        <f>74959812794</f>
      </c>
      <c r="K1078" s="8">
        <v>9662</v>
      </c>
      <c r="L1078" s="7" t="s">
        <v>1276</v>
      </c>
      <c r="M1078" s="8">
        <v>105</v>
      </c>
      <c r="N1078" s="7" t="s">
        <v>1277</v>
      </c>
      <c r="O1078" s="7" t="s">
        <v>73</v>
      </c>
      <c r="P1078" s="7" t="s">
        <v>5056</v>
      </c>
      <c r="Q1078" s="8" t="s">
        <v>1742</v>
      </c>
      <c r="R1078" s="7" t="s">
        <v>33</v>
      </c>
      <c r="S1078" s="7" t="s">
        <v>47</v>
      </c>
      <c r="T1078" s="10">
        <v>4</v>
      </c>
      <c r="U1078" s="7"/>
      <c r="V1078" s="10">
        <v>0</v>
      </c>
      <c r="W1078" s="7" t="s">
        <v>48</v>
      </c>
      <c r="X1078" s="10" t="s">
        <v>36</v>
      </c>
      <c r="Y1078" s="7" t="s">
        <v>37</v>
      </c>
    </row>
    <row x14ac:dyDescent="0.25" r="1079" customHeight="1" ht="18.75">
      <c r="A1079" s="11">
        <v>74321844</v>
      </c>
      <c r="B1079" s="12">
        <v>4470</v>
      </c>
      <c r="C1079" s="13" t="s">
        <v>5057</v>
      </c>
      <c r="D1079" s="13" t="s">
        <v>5058</v>
      </c>
      <c r="E1079" s="14">
        <v>74321844</v>
      </c>
      <c r="F1079" s="14">
        <v>4470</v>
      </c>
      <c r="G1079" s="13" t="s">
        <v>27</v>
      </c>
      <c r="H1079" s="13" t="s">
        <v>5059</v>
      </c>
      <c r="I1079" s="13" t="s">
        <v>5060</v>
      </c>
      <c r="J1079" s="14">
        <f>74952408424</f>
      </c>
      <c r="K1079" s="14">
        <v>6653</v>
      </c>
      <c r="L1079" s="13" t="s">
        <v>1276</v>
      </c>
      <c r="M1079" s="14">
        <v>105</v>
      </c>
      <c r="N1079" s="13" t="s">
        <v>1277</v>
      </c>
      <c r="O1079" s="13" t="s">
        <v>510</v>
      </c>
      <c r="P1079" s="13" t="s">
        <v>2743</v>
      </c>
      <c r="Q1079" s="14" t="s">
        <v>112</v>
      </c>
      <c r="R1079" s="13" t="s">
        <v>33</v>
      </c>
      <c r="S1079" s="13" t="s">
        <v>47</v>
      </c>
      <c r="T1079" s="15">
        <v>4</v>
      </c>
      <c r="U1079" s="13"/>
      <c r="V1079" s="15">
        <v>0</v>
      </c>
      <c r="W1079" s="13" t="s">
        <v>48</v>
      </c>
      <c r="X1079" s="15" t="s">
        <v>65</v>
      </c>
      <c r="Y1079" s="13" t="s">
        <v>37</v>
      </c>
    </row>
    <row x14ac:dyDescent="0.25" r="1080" customHeight="1" ht="18.75">
      <c r="A1080" s="5">
        <v>74021952</v>
      </c>
      <c r="B1080" s="6">
        <v>4525</v>
      </c>
      <c r="C1080" s="7" t="s">
        <v>5061</v>
      </c>
      <c r="D1080" s="7" t="s">
        <v>5062</v>
      </c>
      <c r="E1080" s="8">
        <v>74021952</v>
      </c>
      <c r="F1080" s="8">
        <v>4525</v>
      </c>
      <c r="G1080" s="7" t="s">
        <v>27</v>
      </c>
      <c r="H1080" s="7" t="s">
        <v>5063</v>
      </c>
      <c r="I1080" s="7" t="s">
        <v>5064</v>
      </c>
      <c r="J1080" s="8">
        <f>73537408458</f>
      </c>
      <c r="K1080" s="9"/>
      <c r="L1080" s="7" t="s">
        <v>94</v>
      </c>
      <c r="M1080" s="8">
        <v>100500</v>
      </c>
      <c r="N1080" s="7" t="s">
        <v>5065</v>
      </c>
      <c r="O1080" s="7" t="s">
        <v>96</v>
      </c>
      <c r="P1080" s="7" t="s">
        <v>5066</v>
      </c>
      <c r="Q1080" s="8" t="s">
        <v>58</v>
      </c>
      <c r="R1080" s="7" t="s">
        <v>33</v>
      </c>
      <c r="S1080" s="7" t="s">
        <v>47</v>
      </c>
      <c r="T1080" s="10">
        <v>4</v>
      </c>
      <c r="U1080" s="7"/>
      <c r="V1080" s="10">
        <v>0</v>
      </c>
      <c r="W1080" s="7" t="s">
        <v>48</v>
      </c>
      <c r="X1080" s="10" t="s">
        <v>65</v>
      </c>
      <c r="Y1080" s="7" t="s">
        <v>37</v>
      </c>
    </row>
    <row x14ac:dyDescent="0.25" r="1081" customHeight="1" ht="18.75">
      <c r="A1081" s="11">
        <v>74021953</v>
      </c>
      <c r="B1081" s="12">
        <v>4551</v>
      </c>
      <c r="C1081" s="13" t="s">
        <v>5067</v>
      </c>
      <c r="D1081" s="13" t="s">
        <v>5068</v>
      </c>
      <c r="E1081" s="14">
        <v>74021953</v>
      </c>
      <c r="F1081" s="14">
        <v>4551</v>
      </c>
      <c r="G1081" s="13" t="s">
        <v>27</v>
      </c>
      <c r="H1081" s="13" t="s">
        <v>5069</v>
      </c>
      <c r="I1081" s="13" t="s">
        <v>5070</v>
      </c>
      <c r="J1081" s="14">
        <f>79310086585</f>
      </c>
      <c r="K1081" s="9"/>
      <c r="L1081" s="13" t="s">
        <v>54</v>
      </c>
      <c r="M1081" s="14">
        <v>188</v>
      </c>
      <c r="N1081" s="13" t="s">
        <v>55</v>
      </c>
      <c r="O1081" s="13" t="s">
        <v>56</v>
      </c>
      <c r="P1081" s="13" t="s">
        <v>57</v>
      </c>
      <c r="Q1081" s="14" t="s">
        <v>58</v>
      </c>
      <c r="R1081" s="13" t="s">
        <v>33</v>
      </c>
      <c r="S1081" s="13" t="s">
        <v>47</v>
      </c>
      <c r="T1081" s="15">
        <v>3</v>
      </c>
      <c r="U1081" s="13"/>
      <c r="V1081" s="15">
        <v>0</v>
      </c>
      <c r="W1081" s="13" t="s">
        <v>48</v>
      </c>
      <c r="X1081" s="15" t="s">
        <v>36</v>
      </c>
      <c r="Y1081" s="13" t="s">
        <v>59</v>
      </c>
    </row>
    <row x14ac:dyDescent="0.25" r="1082" customHeight="1" ht="18.75">
      <c r="A1082" s="5">
        <v>74021955</v>
      </c>
      <c r="B1082" s="6">
        <v>4555</v>
      </c>
      <c r="C1082" s="7" t="s">
        <v>5071</v>
      </c>
      <c r="D1082" s="7" t="s">
        <v>5072</v>
      </c>
      <c r="E1082" s="8">
        <v>74021955</v>
      </c>
      <c r="F1082" s="8">
        <v>4555</v>
      </c>
      <c r="G1082" s="7" t="s">
        <v>27</v>
      </c>
      <c r="H1082" s="7" t="s">
        <v>5073</v>
      </c>
      <c r="I1082" s="7" t="s">
        <v>5074</v>
      </c>
      <c r="J1082" s="8">
        <f>74951980951</f>
      </c>
      <c r="K1082" s="9"/>
      <c r="L1082" s="7" t="s">
        <v>80</v>
      </c>
      <c r="M1082" s="8">
        <v>100510</v>
      </c>
      <c r="N1082" s="7" t="s">
        <v>5075</v>
      </c>
      <c r="O1082" s="7" t="s">
        <v>32</v>
      </c>
      <c r="P1082" s="7" t="s">
        <v>32</v>
      </c>
      <c r="Q1082" s="8" t="s">
        <v>58</v>
      </c>
      <c r="R1082" s="7" t="s">
        <v>33</v>
      </c>
      <c r="S1082" s="7" t="s">
        <v>47</v>
      </c>
      <c r="T1082" s="10">
        <v>3</v>
      </c>
      <c r="U1082" s="7"/>
      <c r="V1082" s="10">
        <v>0</v>
      </c>
      <c r="W1082" s="7" t="s">
        <v>48</v>
      </c>
      <c r="X1082" s="10" t="s">
        <v>712</v>
      </c>
      <c r="Y1082" s="7" t="s">
        <v>59</v>
      </c>
    </row>
    <row x14ac:dyDescent="0.25" r="1083" customHeight="1" ht="18.75">
      <c r="A1083" s="11">
        <v>74021956</v>
      </c>
      <c r="B1083" s="12">
        <v>4556</v>
      </c>
      <c r="C1083" s="13" t="s">
        <v>5076</v>
      </c>
      <c r="D1083" s="13" t="s">
        <v>5077</v>
      </c>
      <c r="E1083" s="14">
        <v>74021956</v>
      </c>
      <c r="F1083" s="14">
        <v>4556</v>
      </c>
      <c r="G1083" s="13" t="s">
        <v>27</v>
      </c>
      <c r="H1083" s="13" t="s">
        <v>5078</v>
      </c>
      <c r="I1083" s="13" t="s">
        <v>5079</v>
      </c>
      <c r="J1083" s="14">
        <f>74951980952</f>
      </c>
      <c r="K1083" s="9"/>
      <c r="L1083" s="13" t="s">
        <v>80</v>
      </c>
      <c r="M1083" s="14">
        <v>100510</v>
      </c>
      <c r="N1083" s="13" t="s">
        <v>5075</v>
      </c>
      <c r="O1083" s="13" t="s">
        <v>32</v>
      </c>
      <c r="P1083" s="13" t="s">
        <v>32</v>
      </c>
      <c r="Q1083" s="14" t="s">
        <v>58</v>
      </c>
      <c r="R1083" s="13" t="s">
        <v>33</v>
      </c>
      <c r="S1083" s="13" t="s">
        <v>47</v>
      </c>
      <c r="T1083" s="15">
        <v>3</v>
      </c>
      <c r="U1083" s="13"/>
      <c r="V1083" s="15">
        <v>0</v>
      </c>
      <c r="W1083" s="13" t="s">
        <v>48</v>
      </c>
      <c r="X1083" s="15" t="s">
        <v>712</v>
      </c>
      <c r="Y1083" s="13" t="s">
        <v>37</v>
      </c>
    </row>
    <row x14ac:dyDescent="0.25" r="1084" customHeight="1" ht="18.75">
      <c r="A1084" s="5">
        <v>74021957</v>
      </c>
      <c r="B1084" s="6">
        <v>4557</v>
      </c>
      <c r="C1084" s="7" t="s">
        <v>5080</v>
      </c>
      <c r="D1084" s="7" t="s">
        <v>5081</v>
      </c>
      <c r="E1084" s="8">
        <v>74021957</v>
      </c>
      <c r="F1084" s="8">
        <v>4557</v>
      </c>
      <c r="G1084" s="7" t="s">
        <v>27</v>
      </c>
      <c r="H1084" s="7" t="s">
        <v>5082</v>
      </c>
      <c r="I1084" s="7" t="s">
        <v>5083</v>
      </c>
      <c r="J1084" s="8">
        <f>74951980953</f>
      </c>
      <c r="K1084" s="9"/>
      <c r="L1084" s="7" t="s">
        <v>80</v>
      </c>
      <c r="M1084" s="8">
        <v>100510</v>
      </c>
      <c r="N1084" s="7" t="s">
        <v>5075</v>
      </c>
      <c r="O1084" s="7" t="s">
        <v>32</v>
      </c>
      <c r="P1084" s="7" t="s">
        <v>32</v>
      </c>
      <c r="Q1084" s="8" t="s">
        <v>58</v>
      </c>
      <c r="R1084" s="7" t="s">
        <v>33</v>
      </c>
      <c r="S1084" s="7" t="s">
        <v>47</v>
      </c>
      <c r="T1084" s="10">
        <v>3</v>
      </c>
      <c r="U1084" s="7"/>
      <c r="V1084" s="10">
        <v>0</v>
      </c>
      <c r="W1084" s="7" t="s">
        <v>48</v>
      </c>
      <c r="X1084" s="10" t="s">
        <v>895</v>
      </c>
      <c r="Y1084" s="7" t="s">
        <v>59</v>
      </c>
    </row>
    <row x14ac:dyDescent="0.25" r="1085" customHeight="1" ht="18.75">
      <c r="A1085" s="11">
        <v>74021958</v>
      </c>
      <c r="B1085" s="12">
        <v>4558</v>
      </c>
      <c r="C1085" s="13" t="s">
        <v>5084</v>
      </c>
      <c r="D1085" s="13" t="s">
        <v>5085</v>
      </c>
      <c r="E1085" s="14">
        <v>74021958</v>
      </c>
      <c r="F1085" s="14">
        <v>4558</v>
      </c>
      <c r="G1085" s="13" t="s">
        <v>27</v>
      </c>
      <c r="H1085" s="13" t="s">
        <v>5086</v>
      </c>
      <c r="I1085" s="13" t="s">
        <v>5087</v>
      </c>
      <c r="J1085" s="14">
        <f>79807108541</f>
      </c>
      <c r="K1085" s="9"/>
      <c r="L1085" s="13" t="s">
        <v>230</v>
      </c>
      <c r="M1085" s="14">
        <v>100512</v>
      </c>
      <c r="N1085" s="13" t="s">
        <v>5088</v>
      </c>
      <c r="O1085" s="13" t="s">
        <v>232</v>
      </c>
      <c r="P1085" s="13" t="s">
        <v>5089</v>
      </c>
      <c r="Q1085" s="14" t="s">
        <v>5090</v>
      </c>
      <c r="R1085" s="13" t="s">
        <v>33</v>
      </c>
      <c r="S1085" s="13" t="s">
        <v>47</v>
      </c>
      <c r="T1085" s="15">
        <v>3</v>
      </c>
      <c r="U1085" s="13"/>
      <c r="V1085" s="15">
        <v>0</v>
      </c>
      <c r="W1085" s="13" t="s">
        <v>48</v>
      </c>
      <c r="X1085" s="15" t="s">
        <v>36</v>
      </c>
      <c r="Y1085" s="13" t="s">
        <v>37</v>
      </c>
    </row>
    <row x14ac:dyDescent="0.25" r="1086" customHeight="1" ht="18.75">
      <c r="A1086" s="5">
        <v>74021960</v>
      </c>
      <c r="B1086" s="6">
        <v>4581</v>
      </c>
      <c r="C1086" s="7" t="s">
        <v>5091</v>
      </c>
      <c r="D1086" s="7" t="s">
        <v>5092</v>
      </c>
      <c r="E1086" s="8">
        <v>74021960</v>
      </c>
      <c r="F1086" s="8">
        <v>4581</v>
      </c>
      <c r="G1086" s="7" t="s">
        <v>27</v>
      </c>
      <c r="H1086" s="7" t="s">
        <v>5093</v>
      </c>
      <c r="I1086" s="7" t="s">
        <v>5094</v>
      </c>
      <c r="J1086" s="8">
        <f>79147044482</f>
      </c>
      <c r="K1086" s="9"/>
      <c r="L1086" s="7" t="s">
        <v>721</v>
      </c>
      <c r="M1086" s="8">
        <v>115</v>
      </c>
      <c r="N1086" s="7" t="s">
        <v>1376</v>
      </c>
      <c r="O1086" s="7" t="s">
        <v>723</v>
      </c>
      <c r="P1086" s="7" t="s">
        <v>724</v>
      </c>
      <c r="Q1086" s="8" t="s">
        <v>5095</v>
      </c>
      <c r="R1086" s="7" t="s">
        <v>33</v>
      </c>
      <c r="S1086" s="7" t="s">
        <v>47</v>
      </c>
      <c r="T1086" s="10">
        <v>3</v>
      </c>
      <c r="U1086" s="7"/>
      <c r="V1086" s="10">
        <v>0</v>
      </c>
      <c r="W1086" s="7" t="s">
        <v>48</v>
      </c>
      <c r="X1086" s="10" t="s">
        <v>895</v>
      </c>
      <c r="Y1086" s="7" t="s">
        <v>37</v>
      </c>
    </row>
    <row x14ac:dyDescent="0.25" r="1087" customHeight="1" ht="18.75">
      <c r="A1087" s="11">
        <v>74021961</v>
      </c>
      <c r="B1087" s="12">
        <v>4582</v>
      </c>
      <c r="C1087" s="13" t="s">
        <v>5096</v>
      </c>
      <c r="D1087" s="13" t="s">
        <v>5097</v>
      </c>
      <c r="E1087" s="14">
        <v>74021961</v>
      </c>
      <c r="F1087" s="14">
        <v>4582</v>
      </c>
      <c r="G1087" s="13" t="s">
        <v>27</v>
      </c>
      <c r="H1087" s="13" t="s">
        <v>5098</v>
      </c>
      <c r="I1087" s="13" t="s">
        <v>5099</v>
      </c>
      <c r="J1087" s="14">
        <f>73494915855</f>
      </c>
      <c r="K1087" s="9"/>
      <c r="L1087" s="13" t="s">
        <v>508</v>
      </c>
      <c r="M1087" s="14">
        <v>100312</v>
      </c>
      <c r="N1087" s="13" t="s">
        <v>509</v>
      </c>
      <c r="O1087" s="13" t="s">
        <v>510</v>
      </c>
      <c r="P1087" s="13" t="s">
        <v>511</v>
      </c>
      <c r="Q1087" s="14" t="s">
        <v>5100</v>
      </c>
      <c r="R1087" s="13" t="s">
        <v>33</v>
      </c>
      <c r="S1087" s="13" t="s">
        <v>47</v>
      </c>
      <c r="T1087" s="15">
        <v>3</v>
      </c>
      <c r="U1087" s="13"/>
      <c r="V1087" s="15">
        <v>0</v>
      </c>
      <c r="W1087" s="13" t="s">
        <v>48</v>
      </c>
      <c r="X1087" s="15" t="s">
        <v>36</v>
      </c>
      <c r="Y1087" s="13" t="s">
        <v>37</v>
      </c>
    </row>
    <row x14ac:dyDescent="0.25" r="1088" customHeight="1" ht="18.75">
      <c r="A1088" s="5">
        <v>74321846</v>
      </c>
      <c r="B1088" s="6">
        <v>4611</v>
      </c>
      <c r="C1088" s="7" t="s">
        <v>5101</v>
      </c>
      <c r="D1088" s="7" t="s">
        <v>5102</v>
      </c>
      <c r="E1088" s="8">
        <v>74321846</v>
      </c>
      <c r="F1088" s="8">
        <v>4611</v>
      </c>
      <c r="G1088" s="7" t="s">
        <v>27</v>
      </c>
      <c r="H1088" s="7" t="s">
        <v>5103</v>
      </c>
      <c r="I1088" s="7" t="s">
        <v>5104</v>
      </c>
      <c r="J1088" s="8">
        <f>74952408424</f>
      </c>
      <c r="K1088" s="8">
        <v>6655</v>
      </c>
      <c r="L1088" s="7" t="s">
        <v>1276</v>
      </c>
      <c r="M1088" s="8">
        <v>105</v>
      </c>
      <c r="N1088" s="7" t="s">
        <v>1277</v>
      </c>
      <c r="O1088" s="7" t="s">
        <v>82</v>
      </c>
      <c r="P1088" s="7" t="s">
        <v>268</v>
      </c>
      <c r="Q1088" s="8" t="s">
        <v>58</v>
      </c>
      <c r="R1088" s="7" t="s">
        <v>33</v>
      </c>
      <c r="S1088" s="7" t="s">
        <v>47</v>
      </c>
      <c r="T1088" s="10">
        <v>3</v>
      </c>
      <c r="U1088" s="7"/>
      <c r="V1088" s="10">
        <v>0</v>
      </c>
      <c r="W1088" s="7" t="s">
        <v>48</v>
      </c>
      <c r="X1088" s="10" t="s">
        <v>65</v>
      </c>
      <c r="Y1088" s="7" t="s">
        <v>59</v>
      </c>
    </row>
    <row x14ac:dyDescent="0.25" r="1089" customHeight="1" ht="18.75">
      <c r="A1089" s="11">
        <v>74321847</v>
      </c>
      <c r="B1089" s="12">
        <v>4612</v>
      </c>
      <c r="C1089" s="13" t="s">
        <v>5105</v>
      </c>
      <c r="D1089" s="13" t="s">
        <v>5106</v>
      </c>
      <c r="E1089" s="14">
        <v>74321847</v>
      </c>
      <c r="F1089" s="14">
        <v>4612</v>
      </c>
      <c r="G1089" s="13" t="s">
        <v>27</v>
      </c>
      <c r="H1089" s="13" t="s">
        <v>5107</v>
      </c>
      <c r="I1089" s="13" t="s">
        <v>5108</v>
      </c>
      <c r="J1089" s="14">
        <f>74952408424</f>
      </c>
      <c r="K1089" s="14">
        <v>6657</v>
      </c>
      <c r="L1089" s="13" t="s">
        <v>1276</v>
      </c>
      <c r="M1089" s="14">
        <v>105</v>
      </c>
      <c r="N1089" s="13" t="s">
        <v>1277</v>
      </c>
      <c r="O1089" s="13" t="s">
        <v>96</v>
      </c>
      <c r="P1089" s="13" t="s">
        <v>1799</v>
      </c>
      <c r="Q1089" s="14" t="s">
        <v>5109</v>
      </c>
      <c r="R1089" s="13" t="s">
        <v>33</v>
      </c>
      <c r="S1089" s="13" t="s">
        <v>47</v>
      </c>
      <c r="T1089" s="15">
        <v>3</v>
      </c>
      <c r="U1089" s="13"/>
      <c r="V1089" s="15">
        <v>0</v>
      </c>
      <c r="W1089" s="13" t="s">
        <v>48</v>
      </c>
      <c r="X1089" s="15" t="s">
        <v>36</v>
      </c>
      <c r="Y1089" s="13" t="s">
        <v>37</v>
      </c>
    </row>
    <row x14ac:dyDescent="0.25" r="1090" customHeight="1" ht="18.75">
      <c r="A1090" s="5">
        <v>74021963</v>
      </c>
      <c r="B1090" s="6">
        <v>4621</v>
      </c>
      <c r="C1090" s="7" t="s">
        <v>5110</v>
      </c>
      <c r="D1090" s="7" t="s">
        <v>5111</v>
      </c>
      <c r="E1090" s="8">
        <v>74021963</v>
      </c>
      <c r="F1090" s="8">
        <v>4621</v>
      </c>
      <c r="G1090" s="7" t="s">
        <v>27</v>
      </c>
      <c r="H1090" s="7" t="s">
        <v>5112</v>
      </c>
      <c r="I1090" s="7" t="s">
        <v>5113</v>
      </c>
      <c r="J1090" s="8">
        <f>74951980954</f>
      </c>
      <c r="K1090" s="9"/>
      <c r="L1090" s="7" t="s">
        <v>80</v>
      </c>
      <c r="M1090" s="8">
        <v>235</v>
      </c>
      <c r="N1090" s="7" t="s">
        <v>564</v>
      </c>
      <c r="O1090" s="7" t="s">
        <v>32</v>
      </c>
      <c r="P1090" s="7" t="s">
        <v>32</v>
      </c>
      <c r="Q1090" s="8" t="s">
        <v>5111</v>
      </c>
      <c r="R1090" s="7" t="s">
        <v>33</v>
      </c>
      <c r="S1090" s="7" t="s">
        <v>47</v>
      </c>
      <c r="T1090" s="10">
        <v>3</v>
      </c>
      <c r="U1090" s="7"/>
      <c r="V1090" s="10">
        <v>0</v>
      </c>
      <c r="W1090" s="7" t="s">
        <v>48</v>
      </c>
      <c r="X1090" s="10" t="s">
        <v>895</v>
      </c>
      <c r="Y1090" s="7" t="s">
        <v>37</v>
      </c>
    </row>
    <row x14ac:dyDescent="0.25" r="1091" customHeight="1" ht="18.75">
      <c r="A1091" s="11">
        <v>74021962</v>
      </c>
      <c r="B1091" s="12">
        <v>4631</v>
      </c>
      <c r="C1091" s="13" t="s">
        <v>5114</v>
      </c>
      <c r="D1091" s="13" t="s">
        <v>5115</v>
      </c>
      <c r="E1091" s="14">
        <v>74021962</v>
      </c>
      <c r="F1091" s="14">
        <v>4631</v>
      </c>
      <c r="G1091" s="13" t="s">
        <v>27</v>
      </c>
      <c r="H1091" s="13" t="s">
        <v>5116</v>
      </c>
      <c r="I1091" s="13" t="s">
        <v>5117</v>
      </c>
      <c r="J1091" s="14">
        <f>74950217708</f>
      </c>
      <c r="K1091" s="9"/>
      <c r="L1091" s="13" t="s">
        <v>1334</v>
      </c>
      <c r="M1091" s="14">
        <v>123</v>
      </c>
      <c r="N1091" s="13" t="s">
        <v>1335</v>
      </c>
      <c r="O1091" s="13" t="s">
        <v>32</v>
      </c>
      <c r="P1091" s="13" t="s">
        <v>32</v>
      </c>
      <c r="Q1091" s="14" t="s">
        <v>5118</v>
      </c>
      <c r="R1091" s="13" t="s">
        <v>33</v>
      </c>
      <c r="S1091" s="13" t="s">
        <v>47</v>
      </c>
      <c r="T1091" s="15">
        <v>3</v>
      </c>
      <c r="U1091" s="13"/>
      <c r="V1091" s="15">
        <v>0</v>
      </c>
      <c r="W1091" s="13" t="s">
        <v>48</v>
      </c>
      <c r="X1091" s="15" t="s">
        <v>895</v>
      </c>
      <c r="Y1091" s="13" t="s">
        <v>37</v>
      </c>
    </row>
    <row x14ac:dyDescent="0.25" r="1092" customHeight="1" ht="18.75">
      <c r="A1092" s="5">
        <v>74021964</v>
      </c>
      <c r="B1092" s="6">
        <v>4634</v>
      </c>
      <c r="C1092" s="7" t="s">
        <v>5119</v>
      </c>
      <c r="D1092" s="7" t="s">
        <v>5120</v>
      </c>
      <c r="E1092" s="8">
        <v>74021964</v>
      </c>
      <c r="F1092" s="8">
        <v>4634</v>
      </c>
      <c r="G1092" s="7" t="s">
        <v>27</v>
      </c>
      <c r="H1092" s="7" t="s">
        <v>5121</v>
      </c>
      <c r="I1092" s="7" t="s">
        <v>5122</v>
      </c>
      <c r="J1092" s="8">
        <f>73842452552</f>
      </c>
      <c r="K1092" s="9"/>
      <c r="L1092" s="7" t="s">
        <v>415</v>
      </c>
      <c r="M1092" s="8">
        <v>157</v>
      </c>
      <c r="N1092" s="7" t="s">
        <v>416</v>
      </c>
      <c r="O1092" s="7" t="s">
        <v>73</v>
      </c>
      <c r="P1092" s="7" t="s">
        <v>417</v>
      </c>
      <c r="Q1092" s="8" t="s">
        <v>5123</v>
      </c>
      <c r="R1092" s="7" t="s">
        <v>33</v>
      </c>
      <c r="S1092" s="7" t="s">
        <v>47</v>
      </c>
      <c r="T1092" s="10">
        <v>3</v>
      </c>
      <c r="U1092" s="7"/>
      <c r="V1092" s="10">
        <v>0</v>
      </c>
      <c r="W1092" s="7" t="s">
        <v>48</v>
      </c>
      <c r="X1092" s="10" t="s">
        <v>36</v>
      </c>
      <c r="Y1092" s="7" t="s">
        <v>59</v>
      </c>
    </row>
    <row x14ac:dyDescent="0.25" r="1093" customHeight="1" ht="18.75">
      <c r="A1093" s="11">
        <v>74021970</v>
      </c>
      <c r="B1093" s="12">
        <v>4658</v>
      </c>
      <c r="C1093" s="13" t="s">
        <v>5124</v>
      </c>
      <c r="D1093" s="13" t="s">
        <v>5125</v>
      </c>
      <c r="E1093" s="14">
        <v>74021970</v>
      </c>
      <c r="F1093" s="14">
        <v>4658</v>
      </c>
      <c r="G1093" s="13" t="s">
        <v>27</v>
      </c>
      <c r="H1093" s="13" t="s">
        <v>5126</v>
      </c>
      <c r="I1093" s="13" t="s">
        <v>5127</v>
      </c>
      <c r="J1093" s="14">
        <f>79250012158</f>
      </c>
      <c r="K1093" s="9"/>
      <c r="L1093" s="13" t="s">
        <v>544</v>
      </c>
      <c r="M1093" s="14">
        <v>74</v>
      </c>
      <c r="N1093" s="13" t="s">
        <v>545</v>
      </c>
      <c r="O1093" s="13" t="s">
        <v>232</v>
      </c>
      <c r="P1093" s="13" t="s">
        <v>5128</v>
      </c>
      <c r="Q1093" s="14" t="s">
        <v>5129</v>
      </c>
      <c r="R1093" s="13" t="s">
        <v>33</v>
      </c>
      <c r="S1093" s="13" t="s">
        <v>47</v>
      </c>
      <c r="T1093" s="15">
        <v>3</v>
      </c>
      <c r="U1093" s="13"/>
      <c r="V1093" s="15">
        <v>0</v>
      </c>
      <c r="W1093" s="13" t="s">
        <v>48</v>
      </c>
      <c r="X1093" s="15" t="s">
        <v>895</v>
      </c>
      <c r="Y1093" s="13" t="s">
        <v>37</v>
      </c>
    </row>
    <row x14ac:dyDescent="0.25" r="1094" customHeight="1" ht="18.75">
      <c r="A1094" s="5">
        <v>74321848</v>
      </c>
      <c r="B1094" s="6">
        <v>4681</v>
      </c>
      <c r="C1094" s="7" t="s">
        <v>5130</v>
      </c>
      <c r="D1094" s="7" t="s">
        <v>5131</v>
      </c>
      <c r="E1094" s="8">
        <v>74321848</v>
      </c>
      <c r="F1094" s="8">
        <v>4681</v>
      </c>
      <c r="G1094" s="7" t="s">
        <v>27</v>
      </c>
      <c r="H1094" s="7" t="s">
        <v>5132</v>
      </c>
      <c r="I1094" s="7" t="s">
        <v>5133</v>
      </c>
      <c r="J1094" s="8">
        <f>74952408424</f>
      </c>
      <c r="K1094" s="8">
        <v>9663</v>
      </c>
      <c r="L1094" s="7" t="s">
        <v>1276</v>
      </c>
      <c r="M1094" s="8">
        <v>105</v>
      </c>
      <c r="N1094" s="7" t="s">
        <v>1277</v>
      </c>
      <c r="O1094" s="7" t="s">
        <v>44</v>
      </c>
      <c r="P1094" s="7" t="s">
        <v>2876</v>
      </c>
      <c r="Q1094" s="8" t="s">
        <v>58</v>
      </c>
      <c r="R1094" s="7" t="s">
        <v>33</v>
      </c>
      <c r="S1094" s="7" t="s">
        <v>47</v>
      </c>
      <c r="T1094" s="10">
        <v>3</v>
      </c>
      <c r="U1094" s="7"/>
      <c r="V1094" s="10">
        <v>0</v>
      </c>
      <c r="W1094" s="7" t="s">
        <v>48</v>
      </c>
      <c r="X1094" s="10" t="s">
        <v>65</v>
      </c>
      <c r="Y1094" s="7" t="s">
        <v>37</v>
      </c>
    </row>
    <row x14ac:dyDescent="0.25" r="1095" customHeight="1" ht="18.75">
      <c r="A1095" s="11">
        <v>74321849</v>
      </c>
      <c r="B1095" s="12">
        <v>4682</v>
      </c>
      <c r="C1095" s="13" t="s">
        <v>5134</v>
      </c>
      <c r="D1095" s="13" t="s">
        <v>5135</v>
      </c>
      <c r="E1095" s="14">
        <v>74321849</v>
      </c>
      <c r="F1095" s="14">
        <v>4682</v>
      </c>
      <c r="G1095" s="13" t="s">
        <v>27</v>
      </c>
      <c r="H1095" s="13" t="s">
        <v>5136</v>
      </c>
      <c r="I1095" s="13" t="s">
        <v>5137</v>
      </c>
      <c r="J1095" s="14">
        <f>74952408424</f>
      </c>
      <c r="K1095" s="14">
        <v>6699</v>
      </c>
      <c r="L1095" s="13" t="s">
        <v>1276</v>
      </c>
      <c r="M1095" s="14">
        <v>105</v>
      </c>
      <c r="N1095" s="13" t="s">
        <v>1277</v>
      </c>
      <c r="O1095" s="13" t="s">
        <v>82</v>
      </c>
      <c r="P1095" s="13" t="s">
        <v>5138</v>
      </c>
      <c r="Q1095" s="14" t="s">
        <v>58</v>
      </c>
      <c r="R1095" s="13" t="s">
        <v>33</v>
      </c>
      <c r="S1095" s="13" t="s">
        <v>47</v>
      </c>
      <c r="T1095" s="15">
        <v>3</v>
      </c>
      <c r="U1095" s="13"/>
      <c r="V1095" s="15">
        <v>0</v>
      </c>
      <c r="W1095" s="13" t="s">
        <v>48</v>
      </c>
      <c r="X1095" s="15" t="s">
        <v>3287</v>
      </c>
      <c r="Y1095" s="13" t="s">
        <v>37</v>
      </c>
    </row>
    <row x14ac:dyDescent="0.25" r="1096" customHeight="1" ht="18.75">
      <c r="A1096" s="5">
        <v>74321851</v>
      </c>
      <c r="B1096" s="6">
        <v>4716</v>
      </c>
      <c r="C1096" s="7" t="s">
        <v>5139</v>
      </c>
      <c r="D1096" s="7" t="s">
        <v>5140</v>
      </c>
      <c r="E1096" s="8">
        <v>74321851</v>
      </c>
      <c r="F1096" s="8">
        <v>4716</v>
      </c>
      <c r="G1096" s="7" t="s">
        <v>27</v>
      </c>
      <c r="H1096" s="7" t="s">
        <v>5141</v>
      </c>
      <c r="I1096" s="7" t="s">
        <v>5142</v>
      </c>
      <c r="J1096" s="8">
        <f>74952408424</f>
      </c>
      <c r="K1096" s="8">
        <v>6661</v>
      </c>
      <c r="L1096" s="7" t="s">
        <v>1276</v>
      </c>
      <c r="M1096" s="8">
        <v>105</v>
      </c>
      <c r="N1096" s="7" t="s">
        <v>1277</v>
      </c>
      <c r="O1096" s="7" t="s">
        <v>73</v>
      </c>
      <c r="P1096" s="7" t="s">
        <v>3612</v>
      </c>
      <c r="Q1096" s="8" t="s">
        <v>1533</v>
      </c>
      <c r="R1096" s="7" t="s">
        <v>33</v>
      </c>
      <c r="S1096" s="7" t="s">
        <v>47</v>
      </c>
      <c r="T1096" s="10">
        <v>3</v>
      </c>
      <c r="U1096" s="7"/>
      <c r="V1096" s="10">
        <v>0</v>
      </c>
      <c r="W1096" s="7" t="s">
        <v>48</v>
      </c>
      <c r="X1096" s="10" t="s">
        <v>65</v>
      </c>
      <c r="Y1096" s="7" t="s">
        <v>37</v>
      </c>
    </row>
    <row x14ac:dyDescent="0.25" r="1097" customHeight="1" ht="18.75">
      <c r="A1097" s="11">
        <v>74021973</v>
      </c>
      <c r="B1097" s="12">
        <v>4741</v>
      </c>
      <c r="C1097" s="13" t="s">
        <v>5143</v>
      </c>
      <c r="D1097" s="13" t="s">
        <v>5144</v>
      </c>
      <c r="E1097" s="14">
        <v>74021973</v>
      </c>
      <c r="F1097" s="14">
        <v>4741</v>
      </c>
      <c r="G1097" s="13" t="s">
        <v>27</v>
      </c>
      <c r="H1097" s="13" t="s">
        <v>5145</v>
      </c>
      <c r="I1097" s="13" t="s">
        <v>5146</v>
      </c>
      <c r="J1097" s="14">
        <f>79105901324</f>
      </c>
      <c r="K1097" s="9"/>
      <c r="L1097" s="13" t="s">
        <v>230</v>
      </c>
      <c r="M1097" s="14">
        <v>100031</v>
      </c>
      <c r="N1097" s="13" t="s">
        <v>1910</v>
      </c>
      <c r="O1097" s="13" t="s">
        <v>232</v>
      </c>
      <c r="P1097" s="13" t="s">
        <v>1495</v>
      </c>
      <c r="Q1097" s="14" t="s">
        <v>5144</v>
      </c>
      <c r="R1097" s="13" t="s">
        <v>33</v>
      </c>
      <c r="S1097" s="13" t="s">
        <v>47</v>
      </c>
      <c r="T1097" s="15">
        <v>3</v>
      </c>
      <c r="U1097" s="13"/>
      <c r="V1097" s="15">
        <v>0</v>
      </c>
      <c r="W1097" s="13" t="s">
        <v>48</v>
      </c>
      <c r="X1097" s="15" t="s">
        <v>36</v>
      </c>
      <c r="Y1097" s="13" t="s">
        <v>59</v>
      </c>
    </row>
    <row x14ac:dyDescent="0.25" r="1098" customHeight="1" ht="18.75">
      <c r="A1098" s="5">
        <v>74321852</v>
      </c>
      <c r="B1098" s="6">
        <v>4761</v>
      </c>
      <c r="C1098" s="7" t="s">
        <v>5147</v>
      </c>
      <c r="D1098" s="7" t="s">
        <v>5148</v>
      </c>
      <c r="E1098" s="8">
        <v>74321852</v>
      </c>
      <c r="F1098" s="8">
        <v>4761</v>
      </c>
      <c r="G1098" s="7" t="s">
        <v>27</v>
      </c>
      <c r="H1098" s="7" t="s">
        <v>5149</v>
      </c>
      <c r="I1098" s="7" t="s">
        <v>5150</v>
      </c>
      <c r="J1098" s="8">
        <f>74952408424</f>
      </c>
      <c r="K1098" s="8">
        <v>6662</v>
      </c>
      <c r="L1098" s="7" t="s">
        <v>1276</v>
      </c>
      <c r="M1098" s="8">
        <v>105</v>
      </c>
      <c r="N1098" s="7" t="s">
        <v>1277</v>
      </c>
      <c r="O1098" s="7" t="s">
        <v>73</v>
      </c>
      <c r="P1098" s="7" t="s">
        <v>1532</v>
      </c>
      <c r="Q1098" s="8" t="s">
        <v>1533</v>
      </c>
      <c r="R1098" s="7" t="s">
        <v>33</v>
      </c>
      <c r="S1098" s="7" t="s">
        <v>47</v>
      </c>
      <c r="T1098" s="10">
        <v>3</v>
      </c>
      <c r="U1098" s="7"/>
      <c r="V1098" s="10">
        <v>0</v>
      </c>
      <c r="W1098" s="7" t="s">
        <v>48</v>
      </c>
      <c r="X1098" s="10" t="s">
        <v>65</v>
      </c>
      <c r="Y1098" s="7" t="s">
        <v>84</v>
      </c>
    </row>
    <row x14ac:dyDescent="0.25" r="1099" customHeight="1" ht="18.75">
      <c r="A1099" s="11">
        <v>74321853</v>
      </c>
      <c r="B1099" s="12">
        <v>4782</v>
      </c>
      <c r="C1099" s="13" t="s">
        <v>5151</v>
      </c>
      <c r="D1099" s="13" t="s">
        <v>5152</v>
      </c>
      <c r="E1099" s="14">
        <v>74321853</v>
      </c>
      <c r="F1099" s="14">
        <v>4782</v>
      </c>
      <c r="G1099" s="13" t="s">
        <v>27</v>
      </c>
      <c r="H1099" s="13" t="s">
        <v>5153</v>
      </c>
      <c r="I1099" s="13" t="s">
        <v>5154</v>
      </c>
      <c r="J1099" s="14">
        <f>74952408424</f>
      </c>
      <c r="K1099" s="14">
        <v>6660</v>
      </c>
      <c r="L1099" s="13" t="s">
        <v>1276</v>
      </c>
      <c r="M1099" s="14">
        <v>105</v>
      </c>
      <c r="N1099" s="13" t="s">
        <v>1277</v>
      </c>
      <c r="O1099" s="13" t="s">
        <v>82</v>
      </c>
      <c r="P1099" s="13" t="s">
        <v>4422</v>
      </c>
      <c r="Q1099" s="14" t="s">
        <v>58</v>
      </c>
      <c r="R1099" s="13" t="s">
        <v>33</v>
      </c>
      <c r="S1099" s="13" t="s">
        <v>47</v>
      </c>
      <c r="T1099" s="15">
        <v>3</v>
      </c>
      <c r="U1099" s="13"/>
      <c r="V1099" s="15">
        <v>0</v>
      </c>
      <c r="W1099" s="13" t="s">
        <v>48</v>
      </c>
      <c r="X1099" s="15" t="s">
        <v>65</v>
      </c>
      <c r="Y1099" s="13" t="s">
        <v>37</v>
      </c>
    </row>
    <row x14ac:dyDescent="0.25" r="1100" customHeight="1" ht="18.75">
      <c r="A1100" s="5">
        <v>74321854</v>
      </c>
      <c r="B1100" s="6">
        <v>4783</v>
      </c>
      <c r="C1100" s="7" t="s">
        <v>5155</v>
      </c>
      <c r="D1100" s="7" t="s">
        <v>5156</v>
      </c>
      <c r="E1100" s="8">
        <v>74321854</v>
      </c>
      <c r="F1100" s="8">
        <v>4783</v>
      </c>
      <c r="G1100" s="7" t="s">
        <v>27</v>
      </c>
      <c r="H1100" s="7" t="s">
        <v>5157</v>
      </c>
      <c r="I1100" s="7" t="s">
        <v>5158</v>
      </c>
      <c r="J1100" s="8">
        <f>74952408424</f>
      </c>
      <c r="K1100" s="8">
        <v>6670</v>
      </c>
      <c r="L1100" s="7" t="s">
        <v>1276</v>
      </c>
      <c r="M1100" s="8">
        <v>105</v>
      </c>
      <c r="N1100" s="7" t="s">
        <v>1277</v>
      </c>
      <c r="O1100" s="7" t="s">
        <v>73</v>
      </c>
      <c r="P1100" s="7" t="s">
        <v>5159</v>
      </c>
      <c r="Q1100" s="8" t="s">
        <v>1742</v>
      </c>
      <c r="R1100" s="7" t="s">
        <v>33</v>
      </c>
      <c r="S1100" s="7" t="s">
        <v>47</v>
      </c>
      <c r="T1100" s="10">
        <v>3</v>
      </c>
      <c r="U1100" s="7"/>
      <c r="V1100" s="10">
        <v>0</v>
      </c>
      <c r="W1100" s="7" t="s">
        <v>48</v>
      </c>
      <c r="X1100" s="10" t="s">
        <v>36</v>
      </c>
      <c r="Y1100" s="7" t="s">
        <v>37</v>
      </c>
    </row>
    <row x14ac:dyDescent="0.25" r="1101" customHeight="1" ht="18.75">
      <c r="A1101" s="11">
        <v>74321855</v>
      </c>
      <c r="B1101" s="12">
        <v>4821</v>
      </c>
      <c r="C1101" s="13" t="s">
        <v>5160</v>
      </c>
      <c r="D1101" s="13" t="s">
        <v>5161</v>
      </c>
      <c r="E1101" s="14">
        <v>74321855</v>
      </c>
      <c r="F1101" s="14">
        <v>4821</v>
      </c>
      <c r="G1101" s="13" t="s">
        <v>27</v>
      </c>
      <c r="H1101" s="13" t="s">
        <v>5162</v>
      </c>
      <c r="I1101" s="13" t="s">
        <v>5163</v>
      </c>
      <c r="J1101" s="14">
        <f>74952408424</f>
      </c>
      <c r="K1101" s="14">
        <v>6665</v>
      </c>
      <c r="L1101" s="13" t="s">
        <v>1276</v>
      </c>
      <c r="M1101" s="14">
        <v>105</v>
      </c>
      <c r="N1101" s="13" t="s">
        <v>1277</v>
      </c>
      <c r="O1101" s="13" t="s">
        <v>82</v>
      </c>
      <c r="P1101" s="13" t="s">
        <v>5164</v>
      </c>
      <c r="Q1101" s="14" t="s">
        <v>58</v>
      </c>
      <c r="R1101" s="13" t="s">
        <v>33</v>
      </c>
      <c r="S1101" s="13" t="s">
        <v>47</v>
      </c>
      <c r="T1101" s="15">
        <v>3</v>
      </c>
      <c r="U1101" s="13"/>
      <c r="V1101" s="15">
        <v>0</v>
      </c>
      <c r="W1101" s="13" t="s">
        <v>48</v>
      </c>
      <c r="X1101" s="15" t="s">
        <v>65</v>
      </c>
      <c r="Y1101" s="13" t="s">
        <v>59</v>
      </c>
    </row>
    <row x14ac:dyDescent="0.25" r="1102" customHeight="1" ht="18.75">
      <c r="A1102" s="5">
        <v>74321856</v>
      </c>
      <c r="B1102" s="6">
        <v>4842</v>
      </c>
      <c r="C1102" s="7" t="s">
        <v>5165</v>
      </c>
      <c r="D1102" s="7" t="s">
        <v>5166</v>
      </c>
      <c r="E1102" s="8">
        <v>74321856</v>
      </c>
      <c r="F1102" s="8">
        <v>4842</v>
      </c>
      <c r="G1102" s="7" t="s">
        <v>27</v>
      </c>
      <c r="H1102" s="7" t="s">
        <v>5167</v>
      </c>
      <c r="I1102" s="7" t="s">
        <v>5168</v>
      </c>
      <c r="J1102" s="8">
        <f>74952408424</f>
      </c>
      <c r="K1102" s="8">
        <v>6659</v>
      </c>
      <c r="L1102" s="7" t="s">
        <v>1276</v>
      </c>
      <c r="M1102" s="8">
        <v>105</v>
      </c>
      <c r="N1102" s="7" t="s">
        <v>1277</v>
      </c>
      <c r="O1102" s="7" t="s">
        <v>96</v>
      </c>
      <c r="P1102" s="7" t="s">
        <v>280</v>
      </c>
      <c r="Q1102" s="8" t="s">
        <v>182</v>
      </c>
      <c r="R1102" s="7" t="s">
        <v>33</v>
      </c>
      <c r="S1102" s="7" t="s">
        <v>47</v>
      </c>
      <c r="T1102" s="10">
        <v>3</v>
      </c>
      <c r="U1102" s="7"/>
      <c r="V1102" s="10">
        <v>0</v>
      </c>
      <c r="W1102" s="7" t="s">
        <v>48</v>
      </c>
      <c r="X1102" s="10" t="s">
        <v>65</v>
      </c>
      <c r="Y1102" s="7" t="s">
        <v>126</v>
      </c>
    </row>
    <row x14ac:dyDescent="0.25" r="1103" customHeight="1" ht="18.75">
      <c r="A1103" s="11">
        <v>74021975</v>
      </c>
      <c r="B1103" s="12">
        <v>4843</v>
      </c>
      <c r="C1103" s="13" t="s">
        <v>5169</v>
      </c>
      <c r="D1103" s="13" t="s">
        <v>5170</v>
      </c>
      <c r="E1103" s="14">
        <v>74021975</v>
      </c>
      <c r="F1103" s="14">
        <v>4843</v>
      </c>
      <c r="G1103" s="13" t="s">
        <v>27</v>
      </c>
      <c r="H1103" s="13" t="s">
        <v>5171</v>
      </c>
      <c r="I1103" s="13" t="s">
        <v>5172</v>
      </c>
      <c r="J1103" s="14">
        <f>78412235888</f>
      </c>
      <c r="K1103" s="9"/>
      <c r="L1103" s="13" t="s">
        <v>146</v>
      </c>
      <c r="M1103" s="14">
        <v>53</v>
      </c>
      <c r="N1103" s="13" t="s">
        <v>147</v>
      </c>
      <c r="O1103" s="13" t="s">
        <v>44</v>
      </c>
      <c r="P1103" s="13" t="s">
        <v>148</v>
      </c>
      <c r="Q1103" s="14" t="s">
        <v>5173</v>
      </c>
      <c r="R1103" s="13" t="s">
        <v>33</v>
      </c>
      <c r="S1103" s="13" t="s">
        <v>47</v>
      </c>
      <c r="T1103" s="15">
        <v>3</v>
      </c>
      <c r="U1103" s="13"/>
      <c r="V1103" s="15">
        <v>0</v>
      </c>
      <c r="W1103" s="13" t="s">
        <v>48</v>
      </c>
      <c r="X1103" s="15" t="s">
        <v>36</v>
      </c>
      <c r="Y1103" s="13" t="s">
        <v>37</v>
      </c>
    </row>
    <row x14ac:dyDescent="0.25" r="1104" customHeight="1" ht="18.75">
      <c r="A1104" s="5">
        <v>74321858</v>
      </c>
      <c r="B1104" s="6">
        <v>4851</v>
      </c>
      <c r="C1104" s="7" t="s">
        <v>5174</v>
      </c>
      <c r="D1104" s="7" t="s">
        <v>5175</v>
      </c>
      <c r="E1104" s="8">
        <v>74321858</v>
      </c>
      <c r="F1104" s="8">
        <v>4851</v>
      </c>
      <c r="G1104" s="7" t="s">
        <v>27</v>
      </c>
      <c r="H1104" s="7" t="s">
        <v>5176</v>
      </c>
      <c r="I1104" s="7" t="s">
        <v>5177</v>
      </c>
      <c r="J1104" s="8">
        <f>74952408424</f>
      </c>
      <c r="K1104" s="8">
        <v>6671</v>
      </c>
      <c r="L1104" s="7" t="s">
        <v>1276</v>
      </c>
      <c r="M1104" s="8">
        <v>105</v>
      </c>
      <c r="N1104" s="7" t="s">
        <v>1277</v>
      </c>
      <c r="O1104" s="7" t="s">
        <v>96</v>
      </c>
      <c r="P1104" s="7" t="s">
        <v>5178</v>
      </c>
      <c r="Q1104" s="8" t="s">
        <v>5179</v>
      </c>
      <c r="R1104" s="7" t="s">
        <v>33</v>
      </c>
      <c r="S1104" s="7" t="s">
        <v>47</v>
      </c>
      <c r="T1104" s="10">
        <v>3</v>
      </c>
      <c r="U1104" s="7"/>
      <c r="V1104" s="10">
        <v>0</v>
      </c>
      <c r="W1104" s="7" t="s">
        <v>48</v>
      </c>
      <c r="X1104" s="10" t="s">
        <v>36</v>
      </c>
      <c r="Y1104" s="7" t="s">
        <v>37</v>
      </c>
    </row>
    <row x14ac:dyDescent="0.25" r="1105" customHeight="1" ht="18.75">
      <c r="A1105" s="11">
        <v>74321859</v>
      </c>
      <c r="B1105" s="12">
        <v>4861</v>
      </c>
      <c r="C1105" s="13" t="s">
        <v>5180</v>
      </c>
      <c r="D1105" s="13" t="s">
        <v>5181</v>
      </c>
      <c r="E1105" s="14">
        <v>74321859</v>
      </c>
      <c r="F1105" s="14">
        <v>4861</v>
      </c>
      <c r="G1105" s="13" t="s">
        <v>27</v>
      </c>
      <c r="H1105" s="13" t="s">
        <v>5182</v>
      </c>
      <c r="I1105" s="13" t="s">
        <v>5183</v>
      </c>
      <c r="J1105" s="14">
        <f>74952408424</f>
      </c>
      <c r="K1105" s="14">
        <v>6672</v>
      </c>
      <c r="L1105" s="13" t="s">
        <v>1276</v>
      </c>
      <c r="M1105" s="14">
        <v>105</v>
      </c>
      <c r="N1105" s="13" t="s">
        <v>1277</v>
      </c>
      <c r="O1105" s="13" t="s">
        <v>32</v>
      </c>
      <c r="P1105" s="13" t="s">
        <v>32</v>
      </c>
      <c r="Q1105" s="14" t="s">
        <v>58</v>
      </c>
      <c r="R1105" s="13" t="s">
        <v>33</v>
      </c>
      <c r="S1105" s="13" t="s">
        <v>47</v>
      </c>
      <c r="T1105" s="15">
        <v>3</v>
      </c>
      <c r="U1105" s="13"/>
      <c r="V1105" s="15">
        <v>0</v>
      </c>
      <c r="W1105" s="13" t="s">
        <v>48</v>
      </c>
      <c r="X1105" s="15" t="s">
        <v>36</v>
      </c>
      <c r="Y1105" s="13" t="s">
        <v>59</v>
      </c>
    </row>
    <row x14ac:dyDescent="0.25" r="1106" customHeight="1" ht="18.75">
      <c r="A1106" s="5">
        <v>74021976</v>
      </c>
      <c r="B1106" s="6">
        <v>4881</v>
      </c>
      <c r="C1106" s="7" t="s">
        <v>5184</v>
      </c>
      <c r="D1106" s="7" t="s">
        <v>5185</v>
      </c>
      <c r="E1106" s="8">
        <v>74021976</v>
      </c>
      <c r="F1106" s="8">
        <v>4881</v>
      </c>
      <c r="G1106" s="7" t="s">
        <v>27</v>
      </c>
      <c r="H1106" s="7" t="s">
        <v>5186</v>
      </c>
      <c r="I1106" s="7" t="s">
        <v>5187</v>
      </c>
      <c r="J1106" s="8">
        <f>79878249254</f>
      </c>
      <c r="K1106" s="9"/>
      <c r="L1106" s="7" t="s">
        <v>327</v>
      </c>
      <c r="M1106" s="8">
        <v>100623</v>
      </c>
      <c r="N1106" s="7" t="s">
        <v>328</v>
      </c>
      <c r="O1106" s="7" t="s">
        <v>44</v>
      </c>
      <c r="P1106" s="7" t="s">
        <v>5188</v>
      </c>
      <c r="Q1106" s="8" t="s">
        <v>5189</v>
      </c>
      <c r="R1106" s="7" t="s">
        <v>33</v>
      </c>
      <c r="S1106" s="7" t="s">
        <v>47</v>
      </c>
      <c r="T1106" s="10">
        <v>3</v>
      </c>
      <c r="U1106" s="7"/>
      <c r="V1106" s="10">
        <v>0</v>
      </c>
      <c r="W1106" s="7" t="s">
        <v>48</v>
      </c>
      <c r="X1106" s="10" t="s">
        <v>36</v>
      </c>
      <c r="Y1106" s="7" t="s">
        <v>59</v>
      </c>
    </row>
    <row x14ac:dyDescent="0.25" r="1107" customHeight="1" ht="18.75">
      <c r="A1107" s="11">
        <v>74021977</v>
      </c>
      <c r="B1107" s="12">
        <v>4891</v>
      </c>
      <c r="C1107" s="13" t="s">
        <v>5190</v>
      </c>
      <c r="D1107" s="13" t="s">
        <v>5191</v>
      </c>
      <c r="E1107" s="14">
        <v>74021977</v>
      </c>
      <c r="F1107" s="14">
        <v>4891</v>
      </c>
      <c r="G1107" s="13" t="s">
        <v>27</v>
      </c>
      <c r="H1107" s="13" t="s">
        <v>5192</v>
      </c>
      <c r="I1107" s="13" t="s">
        <v>5193</v>
      </c>
      <c r="J1107" s="14">
        <f>73845295330</f>
      </c>
      <c r="K1107" s="9"/>
      <c r="L1107" s="13" t="s">
        <v>415</v>
      </c>
      <c r="M1107" s="14">
        <v>157</v>
      </c>
      <c r="N1107" s="13" t="s">
        <v>416</v>
      </c>
      <c r="O1107" s="13" t="s">
        <v>73</v>
      </c>
      <c r="P1107" s="13" t="s">
        <v>5194</v>
      </c>
      <c r="Q1107" s="14" t="s">
        <v>5195</v>
      </c>
      <c r="R1107" s="13" t="s">
        <v>33</v>
      </c>
      <c r="S1107" s="13" t="s">
        <v>47</v>
      </c>
      <c r="T1107" s="15">
        <v>3</v>
      </c>
      <c r="U1107" s="13"/>
      <c r="V1107" s="15">
        <v>0</v>
      </c>
      <c r="W1107" s="13" t="s">
        <v>48</v>
      </c>
      <c r="X1107" s="15" t="s">
        <v>36</v>
      </c>
      <c r="Y1107" s="13" t="s">
        <v>37</v>
      </c>
    </row>
    <row x14ac:dyDescent="0.25" r="1108" customHeight="1" ht="18.75">
      <c r="A1108" s="5">
        <v>74021978</v>
      </c>
      <c r="B1108" s="6">
        <v>4892</v>
      </c>
      <c r="C1108" s="7" t="s">
        <v>5196</v>
      </c>
      <c r="D1108" s="7" t="s">
        <v>5197</v>
      </c>
      <c r="E1108" s="8">
        <v>74021978</v>
      </c>
      <c r="F1108" s="8">
        <v>4892</v>
      </c>
      <c r="G1108" s="7" t="s">
        <v>27</v>
      </c>
      <c r="H1108" s="7" t="s">
        <v>5198</v>
      </c>
      <c r="I1108" s="7" t="s">
        <v>5199</v>
      </c>
      <c r="J1108" s="8">
        <f>73532540444</f>
      </c>
      <c r="K1108" s="8">
        <v>1036</v>
      </c>
      <c r="L1108" s="7" t="s">
        <v>94</v>
      </c>
      <c r="M1108" s="8">
        <v>100601</v>
      </c>
      <c r="N1108" s="7" t="s">
        <v>5200</v>
      </c>
      <c r="O1108" s="7" t="s">
        <v>96</v>
      </c>
      <c r="P1108" s="7" t="s">
        <v>220</v>
      </c>
      <c r="Q1108" s="8" t="s">
        <v>58</v>
      </c>
      <c r="R1108" s="7" t="s">
        <v>33</v>
      </c>
      <c r="S1108" s="7" t="s">
        <v>47</v>
      </c>
      <c r="T1108" s="10">
        <v>3</v>
      </c>
      <c r="U1108" s="7"/>
      <c r="V1108" s="10">
        <v>0</v>
      </c>
      <c r="W1108" s="7" t="s">
        <v>48</v>
      </c>
      <c r="X1108" s="10" t="s">
        <v>65</v>
      </c>
      <c r="Y1108" s="7" t="s">
        <v>84</v>
      </c>
    </row>
    <row x14ac:dyDescent="0.25" r="1109" customHeight="1" ht="18.75">
      <c r="A1109" s="11">
        <v>74021979</v>
      </c>
      <c r="B1109" s="12">
        <v>4893</v>
      </c>
      <c r="C1109" s="13" t="s">
        <v>5201</v>
      </c>
      <c r="D1109" s="13" t="s">
        <v>5202</v>
      </c>
      <c r="E1109" s="14">
        <v>74021979</v>
      </c>
      <c r="F1109" s="14">
        <v>4893</v>
      </c>
      <c r="G1109" s="13" t="s">
        <v>27</v>
      </c>
      <c r="H1109" s="13" t="s">
        <v>5203</v>
      </c>
      <c r="I1109" s="13" t="s">
        <v>5204</v>
      </c>
      <c r="J1109" s="13" t="s">
        <v>467</v>
      </c>
      <c r="K1109" s="9"/>
      <c r="L1109" s="13" t="s">
        <v>117</v>
      </c>
      <c r="M1109" s="14">
        <v>210</v>
      </c>
      <c r="N1109" s="13" t="s">
        <v>118</v>
      </c>
      <c r="O1109" s="13" t="s">
        <v>119</v>
      </c>
      <c r="P1109" s="13" t="s">
        <v>806</v>
      </c>
      <c r="Q1109" s="14" t="s">
        <v>58</v>
      </c>
      <c r="R1109" s="13" t="s">
        <v>33</v>
      </c>
      <c r="S1109" s="13" t="s">
        <v>47</v>
      </c>
      <c r="T1109" s="15">
        <v>3</v>
      </c>
      <c r="U1109" s="13"/>
      <c r="V1109" s="15">
        <v>0</v>
      </c>
      <c r="W1109" s="13" t="s">
        <v>48</v>
      </c>
      <c r="X1109" s="15" t="s">
        <v>895</v>
      </c>
      <c r="Y1109" s="13" t="s">
        <v>126</v>
      </c>
    </row>
    <row x14ac:dyDescent="0.25" r="1110" customHeight="1" ht="18.75">
      <c r="A1110" s="5">
        <v>74321861</v>
      </c>
      <c r="B1110" s="6">
        <v>4942</v>
      </c>
      <c r="C1110" s="7" t="s">
        <v>5205</v>
      </c>
      <c r="D1110" s="7" t="s">
        <v>5206</v>
      </c>
      <c r="E1110" s="8">
        <v>74321861</v>
      </c>
      <c r="F1110" s="8">
        <v>4942</v>
      </c>
      <c r="G1110" s="7" t="s">
        <v>27</v>
      </c>
      <c r="H1110" s="7" t="s">
        <v>5207</v>
      </c>
      <c r="I1110" s="7" t="s">
        <v>5208</v>
      </c>
      <c r="J1110" s="8">
        <f>74952408424</f>
      </c>
      <c r="K1110" s="8">
        <v>6684</v>
      </c>
      <c r="L1110" s="7" t="s">
        <v>1276</v>
      </c>
      <c r="M1110" s="8">
        <v>105</v>
      </c>
      <c r="N1110" s="7" t="s">
        <v>1277</v>
      </c>
      <c r="O1110" s="7" t="s">
        <v>82</v>
      </c>
      <c r="P1110" s="7" t="s">
        <v>268</v>
      </c>
      <c r="Q1110" s="8" t="s">
        <v>58</v>
      </c>
      <c r="R1110" s="7" t="s">
        <v>33</v>
      </c>
      <c r="S1110" s="7" t="s">
        <v>47</v>
      </c>
      <c r="T1110" s="10">
        <v>3</v>
      </c>
      <c r="U1110" s="7"/>
      <c r="V1110" s="10">
        <v>0</v>
      </c>
      <c r="W1110" s="7" t="s">
        <v>48</v>
      </c>
      <c r="X1110" s="10" t="s">
        <v>65</v>
      </c>
      <c r="Y1110" s="7" t="s">
        <v>37</v>
      </c>
    </row>
    <row x14ac:dyDescent="0.25" r="1111" customHeight="1" ht="18.75">
      <c r="A1111" s="11">
        <v>74321862</v>
      </c>
      <c r="B1111" s="12">
        <v>4943</v>
      </c>
      <c r="C1111" s="13" t="s">
        <v>5209</v>
      </c>
      <c r="D1111" s="13" t="s">
        <v>5210</v>
      </c>
      <c r="E1111" s="14">
        <v>74321862</v>
      </c>
      <c r="F1111" s="14">
        <v>4943</v>
      </c>
      <c r="G1111" s="13" t="s">
        <v>27</v>
      </c>
      <c r="H1111" s="13" t="s">
        <v>5211</v>
      </c>
      <c r="I1111" s="13" t="s">
        <v>5212</v>
      </c>
      <c r="J1111" s="14">
        <f>74952408424</f>
      </c>
      <c r="K1111" s="14">
        <v>6681</v>
      </c>
      <c r="L1111" s="13" t="s">
        <v>1276</v>
      </c>
      <c r="M1111" s="14">
        <v>105</v>
      </c>
      <c r="N1111" s="13" t="s">
        <v>1277</v>
      </c>
      <c r="O1111" s="13" t="s">
        <v>96</v>
      </c>
      <c r="P1111" s="13" t="s">
        <v>2350</v>
      </c>
      <c r="Q1111" s="14" t="s">
        <v>182</v>
      </c>
      <c r="R1111" s="13" t="s">
        <v>33</v>
      </c>
      <c r="S1111" s="13" t="s">
        <v>47</v>
      </c>
      <c r="T1111" s="15">
        <v>3</v>
      </c>
      <c r="U1111" s="13"/>
      <c r="V1111" s="15">
        <v>0</v>
      </c>
      <c r="W1111" s="13" t="s">
        <v>48</v>
      </c>
      <c r="X1111" s="15" t="s">
        <v>65</v>
      </c>
      <c r="Y1111" s="13" t="s">
        <v>37</v>
      </c>
    </row>
    <row x14ac:dyDescent="0.25" r="1112" customHeight="1" ht="18.75">
      <c r="A1112" s="5">
        <v>74321863</v>
      </c>
      <c r="B1112" s="6">
        <v>4944</v>
      </c>
      <c r="C1112" s="7" t="s">
        <v>5213</v>
      </c>
      <c r="D1112" s="7" t="s">
        <v>5214</v>
      </c>
      <c r="E1112" s="8">
        <v>74321863</v>
      </c>
      <c r="F1112" s="8">
        <v>4944</v>
      </c>
      <c r="G1112" s="7" t="s">
        <v>27</v>
      </c>
      <c r="H1112" s="7" t="s">
        <v>5215</v>
      </c>
      <c r="I1112" s="7" t="s">
        <v>5216</v>
      </c>
      <c r="J1112" s="8">
        <f>74952408424</f>
      </c>
      <c r="K1112" s="8">
        <v>6679</v>
      </c>
      <c r="L1112" s="7" t="s">
        <v>1276</v>
      </c>
      <c r="M1112" s="8">
        <v>105</v>
      </c>
      <c r="N1112" s="7" t="s">
        <v>1277</v>
      </c>
      <c r="O1112" s="7" t="s">
        <v>82</v>
      </c>
      <c r="P1112" s="7" t="s">
        <v>5217</v>
      </c>
      <c r="Q1112" s="8" t="s">
        <v>58</v>
      </c>
      <c r="R1112" s="7" t="s">
        <v>33</v>
      </c>
      <c r="S1112" s="7" t="s">
        <v>47</v>
      </c>
      <c r="T1112" s="10">
        <v>3</v>
      </c>
      <c r="U1112" s="7"/>
      <c r="V1112" s="10">
        <v>0</v>
      </c>
      <c r="W1112" s="7" t="s">
        <v>48</v>
      </c>
      <c r="X1112" s="10" t="s">
        <v>65</v>
      </c>
      <c r="Y1112" s="7" t="s">
        <v>59</v>
      </c>
    </row>
    <row x14ac:dyDescent="0.25" r="1113" customHeight="1" ht="18.75">
      <c r="A1113" s="11">
        <v>74321864</v>
      </c>
      <c r="B1113" s="12">
        <v>4945</v>
      </c>
      <c r="C1113" s="13" t="s">
        <v>5218</v>
      </c>
      <c r="D1113" s="13" t="s">
        <v>5219</v>
      </c>
      <c r="E1113" s="14">
        <v>74321864</v>
      </c>
      <c r="F1113" s="14">
        <v>4945</v>
      </c>
      <c r="G1113" s="13" t="s">
        <v>27</v>
      </c>
      <c r="H1113" s="13" t="s">
        <v>5220</v>
      </c>
      <c r="I1113" s="13" t="s">
        <v>5221</v>
      </c>
      <c r="J1113" s="14">
        <f>74952408424</f>
      </c>
      <c r="K1113" s="14">
        <v>6680</v>
      </c>
      <c r="L1113" s="13" t="s">
        <v>1276</v>
      </c>
      <c r="M1113" s="14">
        <v>105</v>
      </c>
      <c r="N1113" s="13" t="s">
        <v>1277</v>
      </c>
      <c r="O1113" s="13" t="s">
        <v>44</v>
      </c>
      <c r="P1113" s="13" t="s">
        <v>2998</v>
      </c>
      <c r="Q1113" s="14" t="s">
        <v>58</v>
      </c>
      <c r="R1113" s="13" t="s">
        <v>33</v>
      </c>
      <c r="S1113" s="13" t="s">
        <v>47</v>
      </c>
      <c r="T1113" s="15">
        <v>3</v>
      </c>
      <c r="U1113" s="13"/>
      <c r="V1113" s="15">
        <v>0</v>
      </c>
      <c r="W1113" s="13" t="s">
        <v>48</v>
      </c>
      <c r="X1113" s="15" t="s">
        <v>65</v>
      </c>
      <c r="Y1113" s="13" t="s">
        <v>66</v>
      </c>
    </row>
    <row x14ac:dyDescent="0.25" r="1114" customHeight="1" ht="18.75">
      <c r="A1114" s="5">
        <v>74321865</v>
      </c>
      <c r="B1114" s="6">
        <v>4946</v>
      </c>
      <c r="C1114" s="7" t="s">
        <v>5222</v>
      </c>
      <c r="D1114" s="7" t="s">
        <v>5223</v>
      </c>
      <c r="E1114" s="8">
        <v>74321865</v>
      </c>
      <c r="F1114" s="8">
        <v>4946</v>
      </c>
      <c r="G1114" s="7" t="s">
        <v>27</v>
      </c>
      <c r="H1114" s="7" t="s">
        <v>5224</v>
      </c>
      <c r="I1114" s="7" t="s">
        <v>5225</v>
      </c>
      <c r="J1114" s="8">
        <f>74952408424</f>
      </c>
      <c r="K1114" s="8">
        <v>6682</v>
      </c>
      <c r="L1114" s="7" t="s">
        <v>1276</v>
      </c>
      <c r="M1114" s="8">
        <v>105</v>
      </c>
      <c r="N1114" s="7" t="s">
        <v>1277</v>
      </c>
      <c r="O1114" s="7" t="s">
        <v>73</v>
      </c>
      <c r="P1114" s="7" t="s">
        <v>1532</v>
      </c>
      <c r="Q1114" s="8" t="s">
        <v>1533</v>
      </c>
      <c r="R1114" s="7" t="s">
        <v>33</v>
      </c>
      <c r="S1114" s="7" t="s">
        <v>47</v>
      </c>
      <c r="T1114" s="10">
        <v>3</v>
      </c>
      <c r="U1114" s="7"/>
      <c r="V1114" s="10">
        <v>0</v>
      </c>
      <c r="W1114" s="7" t="s">
        <v>48</v>
      </c>
      <c r="X1114" s="10" t="s">
        <v>65</v>
      </c>
      <c r="Y1114" s="7" t="s">
        <v>84</v>
      </c>
    </row>
    <row x14ac:dyDescent="0.25" r="1115" customHeight="1" ht="18.75">
      <c r="A1115" s="11">
        <v>74321866</v>
      </c>
      <c r="B1115" s="12">
        <v>4947</v>
      </c>
      <c r="C1115" s="13" t="s">
        <v>5226</v>
      </c>
      <c r="D1115" s="13" t="s">
        <v>5227</v>
      </c>
      <c r="E1115" s="14">
        <v>74321866</v>
      </c>
      <c r="F1115" s="14">
        <v>4947</v>
      </c>
      <c r="G1115" s="13" t="s">
        <v>27</v>
      </c>
      <c r="H1115" s="13" t="s">
        <v>5228</v>
      </c>
      <c r="I1115" s="13" t="s">
        <v>5229</v>
      </c>
      <c r="J1115" s="13" t="s">
        <v>467</v>
      </c>
      <c r="K1115" s="14">
        <v>6677</v>
      </c>
      <c r="L1115" s="13" t="s">
        <v>1276</v>
      </c>
      <c r="M1115" s="14">
        <v>105</v>
      </c>
      <c r="N1115" s="13" t="s">
        <v>1277</v>
      </c>
      <c r="O1115" s="13" t="s">
        <v>44</v>
      </c>
      <c r="P1115" s="13" t="s">
        <v>5230</v>
      </c>
      <c r="Q1115" s="14" t="s">
        <v>5231</v>
      </c>
      <c r="R1115" s="13" t="s">
        <v>33</v>
      </c>
      <c r="S1115" s="13" t="s">
        <v>47</v>
      </c>
      <c r="T1115" s="15">
        <v>3</v>
      </c>
      <c r="U1115" s="13"/>
      <c r="V1115" s="15">
        <v>0</v>
      </c>
      <c r="W1115" s="13" t="s">
        <v>48</v>
      </c>
      <c r="X1115" s="15" t="s">
        <v>36</v>
      </c>
      <c r="Y1115" s="13" t="s">
        <v>37</v>
      </c>
    </row>
    <row x14ac:dyDescent="0.25" r="1116" customHeight="1" ht="18.75">
      <c r="A1116" s="5">
        <v>74321867</v>
      </c>
      <c r="B1116" s="6">
        <v>4948</v>
      </c>
      <c r="C1116" s="7" t="s">
        <v>5232</v>
      </c>
      <c r="D1116" s="7" t="s">
        <v>5233</v>
      </c>
      <c r="E1116" s="8">
        <v>74321867</v>
      </c>
      <c r="F1116" s="8">
        <v>4948</v>
      </c>
      <c r="G1116" s="7" t="s">
        <v>27</v>
      </c>
      <c r="H1116" s="7" t="s">
        <v>5234</v>
      </c>
      <c r="I1116" s="7" t="s">
        <v>5235</v>
      </c>
      <c r="J1116" s="8">
        <f>74952408424</f>
      </c>
      <c r="K1116" s="8">
        <v>6676</v>
      </c>
      <c r="L1116" s="7" t="s">
        <v>1276</v>
      </c>
      <c r="M1116" s="8">
        <v>105</v>
      </c>
      <c r="N1116" s="7" t="s">
        <v>1277</v>
      </c>
      <c r="O1116" s="7" t="s">
        <v>44</v>
      </c>
      <c r="P1116" s="7" t="s">
        <v>5230</v>
      </c>
      <c r="Q1116" s="8" t="s">
        <v>5236</v>
      </c>
      <c r="R1116" s="7" t="s">
        <v>33</v>
      </c>
      <c r="S1116" s="7" t="s">
        <v>47</v>
      </c>
      <c r="T1116" s="10">
        <v>4</v>
      </c>
      <c r="U1116" s="7"/>
      <c r="V1116" s="10">
        <v>0</v>
      </c>
      <c r="W1116" s="7" t="s">
        <v>48</v>
      </c>
      <c r="X1116" s="10" t="s">
        <v>36</v>
      </c>
      <c r="Y1116" s="7" t="s">
        <v>37</v>
      </c>
    </row>
    <row x14ac:dyDescent="0.25" r="1117" customHeight="1" ht="18.75">
      <c r="A1117" s="11">
        <v>74321873</v>
      </c>
      <c r="B1117" s="12">
        <v>4955</v>
      </c>
      <c r="C1117" s="13" t="s">
        <v>5237</v>
      </c>
      <c r="D1117" s="13" t="s">
        <v>5238</v>
      </c>
      <c r="E1117" s="14">
        <v>74321873</v>
      </c>
      <c r="F1117" s="14">
        <v>4955</v>
      </c>
      <c r="G1117" s="13" t="s">
        <v>27</v>
      </c>
      <c r="H1117" s="13" t="s">
        <v>5239</v>
      </c>
      <c r="I1117" s="13" t="s">
        <v>5240</v>
      </c>
      <c r="J1117" s="14">
        <f>74952408424</f>
      </c>
      <c r="K1117" s="14">
        <v>6688</v>
      </c>
      <c r="L1117" s="13" t="s">
        <v>1276</v>
      </c>
      <c r="M1117" s="14">
        <v>105</v>
      </c>
      <c r="N1117" s="13" t="s">
        <v>1277</v>
      </c>
      <c r="O1117" s="13" t="s">
        <v>44</v>
      </c>
      <c r="P1117" s="13" t="s">
        <v>5241</v>
      </c>
      <c r="Q1117" s="14" t="s">
        <v>58</v>
      </c>
      <c r="R1117" s="13" t="s">
        <v>33</v>
      </c>
      <c r="S1117" s="13" t="s">
        <v>47</v>
      </c>
      <c r="T1117" s="15">
        <v>3</v>
      </c>
      <c r="U1117" s="13"/>
      <c r="V1117" s="15">
        <v>0</v>
      </c>
      <c r="W1117" s="13" t="s">
        <v>48</v>
      </c>
      <c r="X1117" s="15" t="s">
        <v>65</v>
      </c>
      <c r="Y1117" s="13" t="s">
        <v>37</v>
      </c>
    </row>
    <row x14ac:dyDescent="0.25" r="1118" customHeight="1" ht="18.75">
      <c r="A1118" s="5">
        <v>74021984</v>
      </c>
      <c r="B1118" s="6">
        <v>4971</v>
      </c>
      <c r="C1118" s="7" t="s">
        <v>5242</v>
      </c>
      <c r="D1118" s="7" t="s">
        <v>5243</v>
      </c>
      <c r="E1118" s="8">
        <v>74021984</v>
      </c>
      <c r="F1118" s="8">
        <v>4971</v>
      </c>
      <c r="G1118" s="7" t="s">
        <v>27</v>
      </c>
      <c r="H1118" s="7" t="s">
        <v>5244</v>
      </c>
      <c r="I1118" s="7" t="s">
        <v>5245</v>
      </c>
      <c r="J1118" s="8">
        <f>79636300794</f>
      </c>
      <c r="K1118" s="9"/>
      <c r="L1118" s="7" t="s">
        <v>30</v>
      </c>
      <c r="M1118" s="8">
        <v>56</v>
      </c>
      <c r="N1118" s="7" t="s">
        <v>31</v>
      </c>
      <c r="O1118" s="7" t="s">
        <v>32</v>
      </c>
      <c r="P1118" s="7" t="s">
        <v>32</v>
      </c>
      <c r="Q1118" s="8" t="s">
        <v>112</v>
      </c>
      <c r="R1118" s="7" t="s">
        <v>33</v>
      </c>
      <c r="S1118" s="7" t="s">
        <v>47</v>
      </c>
      <c r="T1118" s="10">
        <v>3</v>
      </c>
      <c r="U1118" s="7"/>
      <c r="V1118" s="10">
        <v>0</v>
      </c>
      <c r="W1118" s="7" t="s">
        <v>48</v>
      </c>
      <c r="X1118" s="10" t="s">
        <v>36</v>
      </c>
      <c r="Y1118" s="7" t="s">
        <v>37</v>
      </c>
    </row>
    <row x14ac:dyDescent="0.25" r="1119" customHeight="1" ht="18.75">
      <c r="A1119" s="11">
        <v>74021985</v>
      </c>
      <c r="B1119" s="12">
        <v>4972</v>
      </c>
      <c r="C1119" s="13" t="s">
        <v>5246</v>
      </c>
      <c r="D1119" s="13" t="s">
        <v>5247</v>
      </c>
      <c r="E1119" s="14">
        <v>74021985</v>
      </c>
      <c r="F1119" s="14">
        <v>4972</v>
      </c>
      <c r="G1119" s="13" t="s">
        <v>27</v>
      </c>
      <c r="H1119" s="13" t="s">
        <v>5248</v>
      </c>
      <c r="I1119" s="13" t="s">
        <v>5249</v>
      </c>
      <c r="J1119" s="14">
        <f>79636302376</f>
      </c>
      <c r="K1119" s="9"/>
      <c r="L1119" s="13" t="s">
        <v>30</v>
      </c>
      <c r="M1119" s="14">
        <v>56</v>
      </c>
      <c r="N1119" s="13" t="s">
        <v>31</v>
      </c>
      <c r="O1119" s="13" t="s">
        <v>32</v>
      </c>
      <c r="P1119" s="13" t="s">
        <v>32</v>
      </c>
      <c r="Q1119" s="14" t="s">
        <v>5247</v>
      </c>
      <c r="R1119" s="13" t="s">
        <v>33</v>
      </c>
      <c r="S1119" s="13" t="s">
        <v>47</v>
      </c>
      <c r="T1119" s="15">
        <v>3</v>
      </c>
      <c r="U1119" s="13"/>
      <c r="V1119" s="15">
        <v>0</v>
      </c>
      <c r="W1119" s="13" t="s">
        <v>48</v>
      </c>
      <c r="X1119" s="15" t="s">
        <v>65</v>
      </c>
      <c r="Y1119" s="13" t="s">
        <v>37</v>
      </c>
    </row>
    <row x14ac:dyDescent="0.25" r="1120" customHeight="1" ht="18.75">
      <c r="A1120" s="5">
        <v>74321876</v>
      </c>
      <c r="B1120" s="6">
        <v>5032</v>
      </c>
      <c r="C1120" s="7" t="s">
        <v>5250</v>
      </c>
      <c r="D1120" s="7" t="s">
        <v>5251</v>
      </c>
      <c r="E1120" s="8">
        <v>74321876</v>
      </c>
      <c r="F1120" s="8">
        <v>5032</v>
      </c>
      <c r="G1120" s="7" t="s">
        <v>27</v>
      </c>
      <c r="H1120" s="7" t="s">
        <v>5252</v>
      </c>
      <c r="I1120" s="7" t="s">
        <v>5253</v>
      </c>
      <c r="J1120" s="8">
        <f>74952408424</f>
      </c>
      <c r="K1120" s="8">
        <v>6687</v>
      </c>
      <c r="L1120" s="7" t="s">
        <v>1276</v>
      </c>
      <c r="M1120" s="8">
        <v>105</v>
      </c>
      <c r="N1120" s="7" t="s">
        <v>1277</v>
      </c>
      <c r="O1120" s="7" t="s">
        <v>82</v>
      </c>
      <c r="P1120" s="7" t="s">
        <v>3370</v>
      </c>
      <c r="Q1120" s="8" t="s">
        <v>58</v>
      </c>
      <c r="R1120" s="7" t="s">
        <v>33</v>
      </c>
      <c r="S1120" s="7" t="s">
        <v>47</v>
      </c>
      <c r="T1120" s="10">
        <v>3</v>
      </c>
      <c r="U1120" s="7"/>
      <c r="V1120" s="10">
        <v>0</v>
      </c>
      <c r="W1120" s="7" t="s">
        <v>48</v>
      </c>
      <c r="X1120" s="10" t="s">
        <v>36</v>
      </c>
      <c r="Y1120" s="7" t="s">
        <v>126</v>
      </c>
    </row>
    <row x14ac:dyDescent="0.25" r="1121" customHeight="1" ht="18.75">
      <c r="A1121" s="11">
        <v>74321875</v>
      </c>
      <c r="B1121" s="12">
        <v>5033</v>
      </c>
      <c r="C1121" s="13" t="s">
        <v>5254</v>
      </c>
      <c r="D1121" s="13" t="s">
        <v>5255</v>
      </c>
      <c r="E1121" s="14">
        <v>74321875</v>
      </c>
      <c r="F1121" s="14">
        <v>5033</v>
      </c>
      <c r="G1121" s="13" t="s">
        <v>27</v>
      </c>
      <c r="H1121" s="13" t="s">
        <v>5256</v>
      </c>
      <c r="I1121" s="13" t="s">
        <v>5257</v>
      </c>
      <c r="J1121" s="14">
        <f>74952408424</f>
      </c>
      <c r="K1121" s="14">
        <v>6686</v>
      </c>
      <c r="L1121" s="13" t="s">
        <v>1276</v>
      </c>
      <c r="M1121" s="14">
        <v>105</v>
      </c>
      <c r="N1121" s="13" t="s">
        <v>1277</v>
      </c>
      <c r="O1121" s="13" t="s">
        <v>73</v>
      </c>
      <c r="P1121" s="13" t="s">
        <v>2181</v>
      </c>
      <c r="Q1121" s="14" t="s">
        <v>182</v>
      </c>
      <c r="R1121" s="13" t="s">
        <v>33</v>
      </c>
      <c r="S1121" s="13" t="s">
        <v>47</v>
      </c>
      <c r="T1121" s="15">
        <v>3</v>
      </c>
      <c r="U1121" s="13"/>
      <c r="V1121" s="15">
        <v>0</v>
      </c>
      <c r="W1121" s="13" t="s">
        <v>48</v>
      </c>
      <c r="X1121" s="15" t="s">
        <v>36</v>
      </c>
      <c r="Y1121" s="13" t="s">
        <v>37</v>
      </c>
    </row>
    <row x14ac:dyDescent="0.25" r="1122" customHeight="1" ht="18.75">
      <c r="A1122" s="5">
        <v>74021989</v>
      </c>
      <c r="B1122" s="6">
        <v>5034</v>
      </c>
      <c r="C1122" s="7" t="s">
        <v>5258</v>
      </c>
      <c r="D1122" s="7" t="s">
        <v>5259</v>
      </c>
      <c r="E1122" s="8">
        <v>74021989</v>
      </c>
      <c r="F1122" s="8">
        <v>5034</v>
      </c>
      <c r="G1122" s="7" t="s">
        <v>27</v>
      </c>
      <c r="H1122" s="7" t="s">
        <v>5260</v>
      </c>
      <c r="I1122" s="7" t="s">
        <v>5261</v>
      </c>
      <c r="J1122" s="7" t="s">
        <v>467</v>
      </c>
      <c r="K1122" s="9"/>
      <c r="L1122" s="7" t="s">
        <v>117</v>
      </c>
      <c r="M1122" s="8">
        <v>210</v>
      </c>
      <c r="N1122" s="7" t="s">
        <v>118</v>
      </c>
      <c r="O1122" s="7" t="s">
        <v>119</v>
      </c>
      <c r="P1122" s="7" t="s">
        <v>5262</v>
      </c>
      <c r="Q1122" s="8" t="s">
        <v>58</v>
      </c>
      <c r="R1122" s="7" t="s">
        <v>33</v>
      </c>
      <c r="S1122" s="7" t="s">
        <v>47</v>
      </c>
      <c r="T1122" s="10">
        <v>3</v>
      </c>
      <c r="U1122" s="7"/>
      <c r="V1122" s="10">
        <v>0</v>
      </c>
      <c r="W1122" s="7" t="s">
        <v>48</v>
      </c>
      <c r="X1122" s="10" t="s">
        <v>895</v>
      </c>
      <c r="Y1122" s="7" t="s">
        <v>126</v>
      </c>
    </row>
    <row x14ac:dyDescent="0.25" r="1123" customHeight="1" ht="18.75">
      <c r="A1123" s="11">
        <v>74021990</v>
      </c>
      <c r="B1123" s="12">
        <v>5035</v>
      </c>
      <c r="C1123" s="13" t="s">
        <v>5263</v>
      </c>
      <c r="D1123" s="13" t="s">
        <v>5264</v>
      </c>
      <c r="E1123" s="14">
        <v>74021990</v>
      </c>
      <c r="F1123" s="14">
        <v>5035</v>
      </c>
      <c r="G1123" s="13" t="s">
        <v>27</v>
      </c>
      <c r="H1123" s="13" t="s">
        <v>5265</v>
      </c>
      <c r="I1123" s="13" t="s">
        <v>5266</v>
      </c>
      <c r="J1123" s="13" t="s">
        <v>467</v>
      </c>
      <c r="K1123" s="9"/>
      <c r="L1123" s="13" t="s">
        <v>42</v>
      </c>
      <c r="M1123" s="14">
        <v>86</v>
      </c>
      <c r="N1123" s="13" t="s">
        <v>977</v>
      </c>
      <c r="O1123" s="13" t="s">
        <v>96</v>
      </c>
      <c r="P1123" s="13" t="s">
        <v>978</v>
      </c>
      <c r="Q1123" s="14" t="s">
        <v>5267</v>
      </c>
      <c r="R1123" s="13" t="s">
        <v>33</v>
      </c>
      <c r="S1123" s="13" t="s">
        <v>47</v>
      </c>
      <c r="T1123" s="15">
        <v>3</v>
      </c>
      <c r="U1123" s="13"/>
      <c r="V1123" s="15">
        <v>0</v>
      </c>
      <c r="W1123" s="13" t="s">
        <v>48</v>
      </c>
      <c r="X1123" s="15" t="s">
        <v>36</v>
      </c>
      <c r="Y1123" s="13" t="s">
        <v>84</v>
      </c>
    </row>
    <row x14ac:dyDescent="0.25" r="1124" customHeight="1" ht="18.75">
      <c r="A1124" s="5">
        <v>74321877</v>
      </c>
      <c r="B1124" s="6">
        <v>5151</v>
      </c>
      <c r="C1124" s="7" t="s">
        <v>5268</v>
      </c>
      <c r="D1124" s="7" t="s">
        <v>5269</v>
      </c>
      <c r="E1124" s="8">
        <v>74321877</v>
      </c>
      <c r="F1124" s="8">
        <v>5151</v>
      </c>
      <c r="G1124" s="7" t="s">
        <v>27</v>
      </c>
      <c r="H1124" s="7" t="s">
        <v>5270</v>
      </c>
      <c r="I1124" s="7" t="s">
        <v>5271</v>
      </c>
      <c r="J1124" s="8">
        <f>74952408424</f>
      </c>
      <c r="K1124" s="8">
        <v>6689</v>
      </c>
      <c r="L1124" s="7" t="s">
        <v>1276</v>
      </c>
      <c r="M1124" s="8">
        <v>105</v>
      </c>
      <c r="N1124" s="7" t="s">
        <v>1277</v>
      </c>
      <c r="O1124" s="7" t="s">
        <v>510</v>
      </c>
      <c r="P1124" s="7" t="s">
        <v>2743</v>
      </c>
      <c r="Q1124" s="8" t="s">
        <v>112</v>
      </c>
      <c r="R1124" s="7" t="s">
        <v>33</v>
      </c>
      <c r="S1124" s="7" t="s">
        <v>47</v>
      </c>
      <c r="T1124" s="10">
        <v>3</v>
      </c>
      <c r="U1124" s="7"/>
      <c r="V1124" s="10">
        <v>0</v>
      </c>
      <c r="W1124" s="7" t="s">
        <v>48</v>
      </c>
      <c r="X1124" s="10" t="s">
        <v>65</v>
      </c>
      <c r="Y1124" s="7" t="s">
        <v>126</v>
      </c>
    </row>
    <row x14ac:dyDescent="0.25" r="1125" customHeight="1" ht="18.75">
      <c r="A1125" s="11">
        <v>74021994</v>
      </c>
      <c r="B1125" s="12">
        <v>5152</v>
      </c>
      <c r="C1125" s="13" t="s">
        <v>5272</v>
      </c>
      <c r="D1125" s="13" t="s">
        <v>5273</v>
      </c>
      <c r="E1125" s="14">
        <v>74021994</v>
      </c>
      <c r="F1125" s="14">
        <v>5152</v>
      </c>
      <c r="G1125" s="13" t="s">
        <v>27</v>
      </c>
      <c r="H1125" s="13" t="s">
        <v>5274</v>
      </c>
      <c r="I1125" s="13" t="s">
        <v>5275</v>
      </c>
      <c r="J1125" s="14">
        <f>73472465101</f>
      </c>
      <c r="K1125" s="14">
        <v>1037</v>
      </c>
      <c r="L1125" s="13" t="s">
        <v>94</v>
      </c>
      <c r="M1125" s="14">
        <v>100630</v>
      </c>
      <c r="N1125" s="13" t="s">
        <v>5276</v>
      </c>
      <c r="O1125" s="13" t="s">
        <v>96</v>
      </c>
      <c r="P1125" s="13" t="s">
        <v>5277</v>
      </c>
      <c r="Q1125" s="14" t="s">
        <v>5278</v>
      </c>
      <c r="R1125" s="13" t="s">
        <v>33</v>
      </c>
      <c r="S1125" s="13" t="s">
        <v>47</v>
      </c>
      <c r="T1125" s="15">
        <v>3</v>
      </c>
      <c r="U1125" s="13"/>
      <c r="V1125" s="15">
        <v>0</v>
      </c>
      <c r="W1125" s="13" t="s">
        <v>48</v>
      </c>
      <c r="X1125" s="15" t="s">
        <v>36</v>
      </c>
      <c r="Y1125" s="13" t="s">
        <v>126</v>
      </c>
    </row>
    <row x14ac:dyDescent="0.25" r="1126" customHeight="1" ht="18.75">
      <c r="A1126" s="5">
        <v>74321878</v>
      </c>
      <c r="B1126" s="6">
        <v>5161</v>
      </c>
      <c r="C1126" s="7" t="s">
        <v>5279</v>
      </c>
      <c r="D1126" s="7" t="s">
        <v>5280</v>
      </c>
      <c r="E1126" s="8">
        <v>74321878</v>
      </c>
      <c r="F1126" s="8">
        <v>5161</v>
      </c>
      <c r="G1126" s="7" t="s">
        <v>27</v>
      </c>
      <c r="H1126" s="7" t="s">
        <v>5281</v>
      </c>
      <c r="I1126" s="7" t="s">
        <v>5282</v>
      </c>
      <c r="J1126" s="8">
        <f>74952408424</f>
      </c>
      <c r="K1126" s="8">
        <v>6685</v>
      </c>
      <c r="L1126" s="7" t="s">
        <v>1276</v>
      </c>
      <c r="M1126" s="8">
        <v>105</v>
      </c>
      <c r="N1126" s="7" t="s">
        <v>1277</v>
      </c>
      <c r="O1126" s="7" t="s">
        <v>82</v>
      </c>
      <c r="P1126" s="7" t="s">
        <v>268</v>
      </c>
      <c r="Q1126" s="8" t="s">
        <v>58</v>
      </c>
      <c r="R1126" s="7" t="s">
        <v>33</v>
      </c>
      <c r="S1126" s="7" t="s">
        <v>47</v>
      </c>
      <c r="T1126" s="10">
        <v>3</v>
      </c>
      <c r="U1126" s="7"/>
      <c r="V1126" s="10">
        <v>0</v>
      </c>
      <c r="W1126" s="7" t="s">
        <v>48</v>
      </c>
      <c r="X1126" s="10" t="s">
        <v>36</v>
      </c>
      <c r="Y1126" s="7" t="s">
        <v>59</v>
      </c>
    </row>
    <row x14ac:dyDescent="0.25" r="1127" customHeight="1" ht="18.75">
      <c r="A1127" s="11">
        <v>74321879</v>
      </c>
      <c r="B1127" s="12">
        <v>5191</v>
      </c>
      <c r="C1127" s="13" t="s">
        <v>5283</v>
      </c>
      <c r="D1127" s="13" t="s">
        <v>5284</v>
      </c>
      <c r="E1127" s="14">
        <v>74321879</v>
      </c>
      <c r="F1127" s="14">
        <v>5191</v>
      </c>
      <c r="G1127" s="13" t="s">
        <v>27</v>
      </c>
      <c r="H1127" s="13" t="s">
        <v>5285</v>
      </c>
      <c r="I1127" s="13" t="s">
        <v>5286</v>
      </c>
      <c r="J1127" s="14">
        <f>74952408424</f>
      </c>
      <c r="K1127" s="14">
        <v>6690</v>
      </c>
      <c r="L1127" s="13" t="s">
        <v>1276</v>
      </c>
      <c r="M1127" s="14">
        <v>105</v>
      </c>
      <c r="N1127" s="13" t="s">
        <v>1277</v>
      </c>
      <c r="O1127" s="13" t="s">
        <v>73</v>
      </c>
      <c r="P1127" s="13" t="s">
        <v>3161</v>
      </c>
      <c r="Q1127" s="14" t="s">
        <v>182</v>
      </c>
      <c r="R1127" s="13" t="s">
        <v>33</v>
      </c>
      <c r="S1127" s="13" t="s">
        <v>47</v>
      </c>
      <c r="T1127" s="15">
        <v>3</v>
      </c>
      <c r="U1127" s="13"/>
      <c r="V1127" s="15">
        <v>0</v>
      </c>
      <c r="W1127" s="13" t="s">
        <v>48</v>
      </c>
      <c r="X1127" s="15" t="s">
        <v>36</v>
      </c>
      <c r="Y1127" s="13" t="s">
        <v>37</v>
      </c>
    </row>
    <row x14ac:dyDescent="0.25" r="1128" customHeight="1" ht="18.75">
      <c r="A1128" s="5">
        <v>74021995</v>
      </c>
      <c r="B1128" s="6">
        <v>5211</v>
      </c>
      <c r="C1128" s="7" t="s">
        <v>5287</v>
      </c>
      <c r="D1128" s="7" t="s">
        <v>5288</v>
      </c>
      <c r="E1128" s="8">
        <v>74021995</v>
      </c>
      <c r="F1128" s="8">
        <v>5211</v>
      </c>
      <c r="G1128" s="7" t="s">
        <v>27</v>
      </c>
      <c r="H1128" s="7" t="s">
        <v>5289</v>
      </c>
      <c r="I1128" s="7" t="s">
        <v>5290</v>
      </c>
      <c r="J1128" s="7" t="s">
        <v>467</v>
      </c>
      <c r="K1128" s="9"/>
      <c r="L1128" s="7" t="s">
        <v>327</v>
      </c>
      <c r="M1128" s="8">
        <v>100623</v>
      </c>
      <c r="N1128" s="7" t="s">
        <v>328</v>
      </c>
      <c r="O1128" s="7" t="s">
        <v>44</v>
      </c>
      <c r="P1128" s="7" t="s">
        <v>329</v>
      </c>
      <c r="Q1128" s="8" t="s">
        <v>5291</v>
      </c>
      <c r="R1128" s="7" t="s">
        <v>33</v>
      </c>
      <c r="S1128" s="7" t="s">
        <v>47</v>
      </c>
      <c r="T1128" s="10">
        <v>3</v>
      </c>
      <c r="U1128" s="7"/>
      <c r="V1128" s="10">
        <v>0</v>
      </c>
      <c r="W1128" s="7" t="s">
        <v>48</v>
      </c>
      <c r="X1128" s="10" t="s">
        <v>36</v>
      </c>
      <c r="Y1128" s="7" t="s">
        <v>37</v>
      </c>
    </row>
    <row x14ac:dyDescent="0.25" r="1129" customHeight="1" ht="18.75">
      <c r="A1129" s="11">
        <v>74021999</v>
      </c>
      <c r="B1129" s="12">
        <v>5321</v>
      </c>
      <c r="C1129" s="13" t="s">
        <v>5292</v>
      </c>
      <c r="D1129" s="13" t="s">
        <v>5293</v>
      </c>
      <c r="E1129" s="14">
        <v>74021999</v>
      </c>
      <c r="F1129" s="14">
        <v>5321</v>
      </c>
      <c r="G1129" s="13" t="s">
        <v>27</v>
      </c>
      <c r="H1129" s="13" t="s">
        <v>5294</v>
      </c>
      <c r="I1129" s="13" t="s">
        <v>5295</v>
      </c>
      <c r="J1129" s="13" t="s">
        <v>467</v>
      </c>
      <c r="K1129" s="9"/>
      <c r="L1129" s="13" t="s">
        <v>117</v>
      </c>
      <c r="M1129" s="14">
        <v>210</v>
      </c>
      <c r="N1129" s="13" t="s">
        <v>118</v>
      </c>
      <c r="O1129" s="13" t="s">
        <v>119</v>
      </c>
      <c r="P1129" s="13" t="s">
        <v>120</v>
      </c>
      <c r="Q1129" s="14" t="s">
        <v>58</v>
      </c>
      <c r="R1129" s="13" t="s">
        <v>33</v>
      </c>
      <c r="S1129" s="13" t="s">
        <v>47</v>
      </c>
      <c r="T1129" s="15">
        <v>3</v>
      </c>
      <c r="U1129" s="13"/>
      <c r="V1129" s="15">
        <v>0</v>
      </c>
      <c r="W1129" s="13" t="s">
        <v>48</v>
      </c>
      <c r="X1129" s="15" t="s">
        <v>3287</v>
      </c>
      <c r="Y1129" s="13" t="s">
        <v>126</v>
      </c>
    </row>
    <row x14ac:dyDescent="0.25" r="1130" customHeight="1" ht="18.75">
      <c r="A1130" s="5">
        <v>74022000</v>
      </c>
      <c r="B1130" s="6">
        <v>5341</v>
      </c>
      <c r="C1130" s="7" t="s">
        <v>5296</v>
      </c>
      <c r="D1130" s="7" t="s">
        <v>5297</v>
      </c>
      <c r="E1130" s="8">
        <v>74022000</v>
      </c>
      <c r="F1130" s="8">
        <v>5341</v>
      </c>
      <c r="G1130" s="7" t="s">
        <v>27</v>
      </c>
      <c r="H1130" s="7" t="s">
        <v>5298</v>
      </c>
      <c r="I1130" s="7" t="s">
        <v>5299</v>
      </c>
      <c r="J1130" s="7" t="s">
        <v>467</v>
      </c>
      <c r="K1130" s="9"/>
      <c r="L1130" s="7" t="s">
        <v>117</v>
      </c>
      <c r="M1130" s="8">
        <v>210</v>
      </c>
      <c r="N1130" s="7" t="s">
        <v>118</v>
      </c>
      <c r="O1130" s="7" t="s">
        <v>119</v>
      </c>
      <c r="P1130" s="7" t="s">
        <v>5300</v>
      </c>
      <c r="Q1130" s="8" t="s">
        <v>58</v>
      </c>
      <c r="R1130" s="7" t="s">
        <v>33</v>
      </c>
      <c r="S1130" s="7" t="s">
        <v>47</v>
      </c>
      <c r="T1130" s="10">
        <v>3</v>
      </c>
      <c r="U1130" s="7"/>
      <c r="V1130" s="10">
        <v>0</v>
      </c>
      <c r="W1130" s="7" t="s">
        <v>48</v>
      </c>
      <c r="X1130" s="10" t="s">
        <v>3287</v>
      </c>
      <c r="Y1130" s="7" t="s">
        <v>126</v>
      </c>
    </row>
    <row x14ac:dyDescent="0.25" r="1131" customHeight="1" ht="18.75">
      <c r="A1131" s="11">
        <v>74321880</v>
      </c>
      <c r="B1131" s="12">
        <v>5422</v>
      </c>
      <c r="C1131" s="13" t="s">
        <v>5301</v>
      </c>
      <c r="D1131" s="13" t="s">
        <v>5302</v>
      </c>
      <c r="E1131" s="14">
        <v>74321880</v>
      </c>
      <c r="F1131" s="14">
        <v>5422</v>
      </c>
      <c r="G1131" s="13" t="s">
        <v>27</v>
      </c>
      <c r="H1131" s="13" t="s">
        <v>5303</v>
      </c>
      <c r="I1131" s="13" t="s">
        <v>5304</v>
      </c>
      <c r="J1131" s="14">
        <f>74952408424</f>
      </c>
      <c r="K1131" s="14">
        <v>691</v>
      </c>
      <c r="L1131" s="13" t="s">
        <v>1276</v>
      </c>
      <c r="M1131" s="14">
        <v>105</v>
      </c>
      <c r="N1131" s="13" t="s">
        <v>1277</v>
      </c>
      <c r="O1131" s="13" t="s">
        <v>44</v>
      </c>
      <c r="P1131" s="13" t="s">
        <v>5305</v>
      </c>
      <c r="Q1131" s="14" t="s">
        <v>58</v>
      </c>
      <c r="R1131" s="13" t="s">
        <v>33</v>
      </c>
      <c r="S1131" s="13" t="s">
        <v>47</v>
      </c>
      <c r="T1131" s="15">
        <v>3</v>
      </c>
      <c r="U1131" s="13"/>
      <c r="V1131" s="15">
        <v>0</v>
      </c>
      <c r="W1131" s="13" t="s">
        <v>48</v>
      </c>
      <c r="X1131" s="15" t="s">
        <v>65</v>
      </c>
      <c r="Y1131" s="13" t="s">
        <v>37</v>
      </c>
    </row>
    <row x14ac:dyDescent="0.25" r="1132" customHeight="1" ht="18.75">
      <c r="A1132" s="5">
        <v>74022004</v>
      </c>
      <c r="B1132" s="6">
        <v>5424</v>
      </c>
      <c r="C1132" s="7" t="s">
        <v>5306</v>
      </c>
      <c r="D1132" s="7" t="s">
        <v>5307</v>
      </c>
      <c r="E1132" s="8">
        <v>74022004</v>
      </c>
      <c r="F1132" s="8">
        <v>5424</v>
      </c>
      <c r="G1132" s="7" t="s">
        <v>27</v>
      </c>
      <c r="H1132" s="7" t="s">
        <v>5308</v>
      </c>
      <c r="I1132" s="7" t="s">
        <v>5309</v>
      </c>
      <c r="J1132" s="9"/>
      <c r="K1132" s="8"/>
      <c r="L1132" s="7" t="s">
        <v>42</v>
      </c>
      <c r="M1132" s="8">
        <v>100</v>
      </c>
      <c r="N1132" s="7" t="s">
        <v>910</v>
      </c>
      <c r="O1132" s="7" t="s">
        <v>44</v>
      </c>
      <c r="P1132" s="7" t="s">
        <v>45</v>
      </c>
      <c r="Q1132" s="8" t="s">
        <v>5310</v>
      </c>
      <c r="R1132" s="7" t="s">
        <v>33</v>
      </c>
      <c r="S1132" s="7" t="s">
        <v>47</v>
      </c>
      <c r="T1132" s="10">
        <v>3</v>
      </c>
      <c r="U1132" s="7"/>
      <c r="V1132" s="10">
        <v>0</v>
      </c>
      <c r="W1132" s="7" t="s">
        <v>48</v>
      </c>
      <c r="X1132" s="10" t="s">
        <v>3287</v>
      </c>
      <c r="Y1132" s="7" t="s">
        <v>126</v>
      </c>
    </row>
    <row x14ac:dyDescent="0.25" r="1133" customHeight="1" ht="18.75">
      <c r="A1133" s="11">
        <v>74022005</v>
      </c>
      <c r="B1133" s="12">
        <v>5451</v>
      </c>
      <c r="C1133" s="13" t="s">
        <v>5311</v>
      </c>
      <c r="D1133" s="13" t="s">
        <v>5312</v>
      </c>
      <c r="E1133" s="14">
        <v>74022005</v>
      </c>
      <c r="F1133" s="14">
        <v>5451</v>
      </c>
      <c r="G1133" s="13" t="s">
        <v>27</v>
      </c>
      <c r="H1133" s="13" t="s">
        <v>5313</v>
      </c>
      <c r="I1133" s="13" t="s">
        <v>5314</v>
      </c>
      <c r="J1133" s="14">
        <f>79218976436</f>
      </c>
      <c r="K1133" s="9"/>
      <c r="L1133" s="13" t="s">
        <v>54</v>
      </c>
      <c r="M1133" s="14">
        <v>188</v>
      </c>
      <c r="N1133" s="13" t="s">
        <v>55</v>
      </c>
      <c r="O1133" s="13" t="s">
        <v>56</v>
      </c>
      <c r="P1133" s="13" t="s">
        <v>57</v>
      </c>
      <c r="Q1133" s="14" t="s">
        <v>5315</v>
      </c>
      <c r="R1133" s="13" t="s">
        <v>33</v>
      </c>
      <c r="S1133" s="13" t="s">
        <v>47</v>
      </c>
      <c r="T1133" s="15">
        <v>3</v>
      </c>
      <c r="U1133" s="13" t="s">
        <v>35</v>
      </c>
      <c r="V1133" s="15" t="s">
        <v>36</v>
      </c>
      <c r="W1133" s="13" t="s">
        <v>48</v>
      </c>
      <c r="X1133" s="15" t="s">
        <v>3287</v>
      </c>
      <c r="Y1133" s="13" t="s">
        <v>37</v>
      </c>
    </row>
    <row x14ac:dyDescent="0.25" r="1134" customHeight="1" ht="18.75">
      <c r="A1134" s="5">
        <v>74321881</v>
      </c>
      <c r="B1134" s="6">
        <v>5452</v>
      </c>
      <c r="C1134" s="7" t="s">
        <v>5316</v>
      </c>
      <c r="D1134" s="7" t="s">
        <v>5317</v>
      </c>
      <c r="E1134" s="8">
        <v>74321881</v>
      </c>
      <c r="F1134" s="8">
        <v>5452</v>
      </c>
      <c r="G1134" s="7" t="s">
        <v>27</v>
      </c>
      <c r="H1134" s="7" t="s">
        <v>5318</v>
      </c>
      <c r="I1134" s="7" t="s">
        <v>5319</v>
      </c>
      <c r="J1134" s="7" t="s">
        <v>467</v>
      </c>
      <c r="K1134" s="8">
        <v>6697</v>
      </c>
      <c r="L1134" s="7" t="s">
        <v>1276</v>
      </c>
      <c r="M1134" s="8">
        <v>105</v>
      </c>
      <c r="N1134" s="7" t="s">
        <v>1277</v>
      </c>
      <c r="O1134" s="7" t="s">
        <v>32</v>
      </c>
      <c r="P1134" s="7" t="s">
        <v>32</v>
      </c>
      <c r="Q1134" s="8" t="s">
        <v>58</v>
      </c>
      <c r="R1134" s="7" t="s">
        <v>33</v>
      </c>
      <c r="S1134" s="7" t="s">
        <v>47</v>
      </c>
      <c r="T1134" s="10">
        <v>3</v>
      </c>
      <c r="U1134" s="7" t="s">
        <v>35</v>
      </c>
      <c r="V1134" s="10" t="s">
        <v>36</v>
      </c>
      <c r="W1134" s="7" t="s">
        <v>48</v>
      </c>
      <c r="X1134" s="10" t="s">
        <v>3287</v>
      </c>
      <c r="Y1134" s="7" t="s">
        <v>37</v>
      </c>
    </row>
    <row x14ac:dyDescent="0.25" r="1135" customHeight="1" ht="18.75">
      <c r="A1135" s="11">
        <v>74022006</v>
      </c>
      <c r="B1135" s="12">
        <v>5461</v>
      </c>
      <c r="C1135" s="13" t="s">
        <v>5320</v>
      </c>
      <c r="D1135" s="13" t="s">
        <v>5321</v>
      </c>
      <c r="E1135" s="14">
        <v>74022006</v>
      </c>
      <c r="F1135" s="14">
        <v>5461</v>
      </c>
      <c r="G1135" s="13" t="s">
        <v>27</v>
      </c>
      <c r="H1135" s="13" t="s">
        <v>5322</v>
      </c>
      <c r="I1135" s="13" t="s">
        <v>5323</v>
      </c>
      <c r="J1135" s="14">
        <f>79667699091</f>
      </c>
      <c r="K1135" s="9"/>
      <c r="L1135" s="13" t="s">
        <v>117</v>
      </c>
      <c r="M1135" s="14">
        <v>210</v>
      </c>
      <c r="N1135" s="13" t="s">
        <v>118</v>
      </c>
      <c r="O1135" s="13" t="s">
        <v>119</v>
      </c>
      <c r="P1135" s="13" t="s">
        <v>5324</v>
      </c>
      <c r="Q1135" s="14" t="s">
        <v>58</v>
      </c>
      <c r="R1135" s="13" t="s">
        <v>33</v>
      </c>
      <c r="S1135" s="13" t="s">
        <v>47</v>
      </c>
      <c r="T1135" s="15">
        <v>3</v>
      </c>
      <c r="U1135" s="13"/>
      <c r="V1135" s="15">
        <v>0</v>
      </c>
      <c r="W1135" s="13" t="s">
        <v>48</v>
      </c>
      <c r="X1135" s="15" t="s">
        <v>3287</v>
      </c>
      <c r="Y1135" s="13" t="s">
        <v>84</v>
      </c>
    </row>
    <row x14ac:dyDescent="0.25" r="1136" customHeight="1" ht="18.75">
      <c r="A1136" s="5">
        <v>74321884</v>
      </c>
      <c r="B1136" s="6">
        <v>5481</v>
      </c>
      <c r="C1136" s="7" t="s">
        <v>5325</v>
      </c>
      <c r="D1136" s="7" t="s">
        <v>5326</v>
      </c>
      <c r="E1136" s="8">
        <v>74321884</v>
      </c>
      <c r="F1136" s="8">
        <v>5481</v>
      </c>
      <c r="G1136" s="7" t="s">
        <v>27</v>
      </c>
      <c r="H1136" s="7" t="s">
        <v>5327</v>
      </c>
      <c r="I1136" s="7" t="s">
        <v>5328</v>
      </c>
      <c r="J1136" s="8">
        <f>74952408424</f>
      </c>
      <c r="K1136" s="8">
        <v>6694</v>
      </c>
      <c r="L1136" s="7" t="s">
        <v>1276</v>
      </c>
      <c r="M1136" s="8">
        <v>105</v>
      </c>
      <c r="N1136" s="7" t="s">
        <v>1277</v>
      </c>
      <c r="O1136" s="7" t="s">
        <v>119</v>
      </c>
      <c r="P1136" s="7" t="s">
        <v>3301</v>
      </c>
      <c r="Q1136" s="8" t="s">
        <v>5329</v>
      </c>
      <c r="R1136" s="7" t="s">
        <v>33</v>
      </c>
      <c r="S1136" s="7" t="s">
        <v>47</v>
      </c>
      <c r="T1136" s="10">
        <v>3</v>
      </c>
      <c r="U1136" s="7"/>
      <c r="V1136" s="10">
        <v>0</v>
      </c>
      <c r="W1136" s="7" t="s">
        <v>48</v>
      </c>
      <c r="X1136" s="10" t="s">
        <v>3287</v>
      </c>
      <c r="Y1136" s="7" t="s">
        <v>59</v>
      </c>
    </row>
    <row x14ac:dyDescent="0.25" r="1137" customHeight="1" ht="18.75">
      <c r="A1137" s="11">
        <v>74321887</v>
      </c>
      <c r="B1137" s="12">
        <v>5491</v>
      </c>
      <c r="C1137" s="13" t="s">
        <v>5330</v>
      </c>
      <c r="D1137" s="13" t="s">
        <v>5331</v>
      </c>
      <c r="E1137" s="14">
        <v>74321887</v>
      </c>
      <c r="F1137" s="14">
        <v>5491</v>
      </c>
      <c r="G1137" s="13" t="s">
        <v>27</v>
      </c>
      <c r="H1137" s="13" t="s">
        <v>5332</v>
      </c>
      <c r="I1137" s="13" t="s">
        <v>5333</v>
      </c>
      <c r="J1137" s="14">
        <f>74952408424</f>
      </c>
      <c r="K1137" s="14">
        <v>6701</v>
      </c>
      <c r="L1137" s="13" t="s">
        <v>1276</v>
      </c>
      <c r="M1137" s="14">
        <v>105</v>
      </c>
      <c r="N1137" s="13" t="s">
        <v>1277</v>
      </c>
      <c r="O1137" s="13" t="s">
        <v>96</v>
      </c>
      <c r="P1137" s="13" t="s">
        <v>1799</v>
      </c>
      <c r="Q1137" s="14" t="s">
        <v>5334</v>
      </c>
      <c r="R1137" s="13" t="s">
        <v>33</v>
      </c>
      <c r="S1137" s="13" t="s">
        <v>47</v>
      </c>
      <c r="T1137" s="15">
        <v>3</v>
      </c>
      <c r="U1137" s="13"/>
      <c r="V1137" s="15">
        <v>0</v>
      </c>
      <c r="W1137" s="13" t="s">
        <v>48</v>
      </c>
      <c r="X1137" s="15" t="s">
        <v>3287</v>
      </c>
      <c r="Y1137" s="13" t="s">
        <v>37</v>
      </c>
    </row>
    <row x14ac:dyDescent="0.25" r="1138" customHeight="1" ht="18.75">
      <c r="A1138" s="5">
        <v>74321888</v>
      </c>
      <c r="B1138" s="6">
        <v>5501</v>
      </c>
      <c r="C1138" s="7" t="s">
        <v>5335</v>
      </c>
      <c r="D1138" s="7" t="s">
        <v>5336</v>
      </c>
      <c r="E1138" s="8">
        <v>74321888</v>
      </c>
      <c r="F1138" s="8">
        <v>5501</v>
      </c>
      <c r="G1138" s="7" t="s">
        <v>27</v>
      </c>
      <c r="H1138" s="7" t="s">
        <v>5337</v>
      </c>
      <c r="I1138" s="7" t="s">
        <v>5338</v>
      </c>
      <c r="J1138" s="8">
        <f>74952408424</f>
      </c>
      <c r="K1138" s="8">
        <v>6692</v>
      </c>
      <c r="L1138" s="7" t="s">
        <v>1276</v>
      </c>
      <c r="M1138" s="8">
        <v>105</v>
      </c>
      <c r="N1138" s="7" t="s">
        <v>1277</v>
      </c>
      <c r="O1138" s="7" t="s">
        <v>96</v>
      </c>
      <c r="P1138" s="7" t="s">
        <v>5339</v>
      </c>
      <c r="Q1138" s="8" t="s">
        <v>112</v>
      </c>
      <c r="R1138" s="7" t="s">
        <v>33</v>
      </c>
      <c r="S1138" s="7" t="s">
        <v>47</v>
      </c>
      <c r="T1138" s="10">
        <v>3</v>
      </c>
      <c r="U1138" s="7"/>
      <c r="V1138" s="10">
        <v>0</v>
      </c>
      <c r="W1138" s="7" t="s">
        <v>48</v>
      </c>
      <c r="X1138" s="10" t="s">
        <v>3287</v>
      </c>
      <c r="Y1138" s="7" t="s">
        <v>59</v>
      </c>
    </row>
    <row x14ac:dyDescent="0.25" r="1139" customHeight="1" ht="18.75">
      <c r="A1139" s="11">
        <v>74321892</v>
      </c>
      <c r="B1139" s="12">
        <v>5515</v>
      </c>
      <c r="C1139" s="13" t="s">
        <v>5340</v>
      </c>
      <c r="D1139" s="13" t="s">
        <v>5341</v>
      </c>
      <c r="E1139" s="14">
        <v>74321892</v>
      </c>
      <c r="F1139" s="14">
        <v>5515</v>
      </c>
      <c r="G1139" s="13" t="s">
        <v>27</v>
      </c>
      <c r="H1139" s="13" t="s">
        <v>5342</v>
      </c>
      <c r="I1139" s="13" t="s">
        <v>5343</v>
      </c>
      <c r="J1139" s="14">
        <f>74952408424</f>
      </c>
      <c r="K1139" s="14">
        <v>6713</v>
      </c>
      <c r="L1139" s="13" t="s">
        <v>1276</v>
      </c>
      <c r="M1139" s="14">
        <v>105</v>
      </c>
      <c r="N1139" s="13" t="s">
        <v>1277</v>
      </c>
      <c r="O1139" s="13" t="s">
        <v>73</v>
      </c>
      <c r="P1139" s="13" t="s">
        <v>2181</v>
      </c>
      <c r="Q1139" s="14" t="s">
        <v>182</v>
      </c>
      <c r="R1139" s="13" t="s">
        <v>33</v>
      </c>
      <c r="S1139" s="13" t="s">
        <v>47</v>
      </c>
      <c r="T1139" s="15">
        <v>3</v>
      </c>
      <c r="U1139" s="13"/>
      <c r="V1139" s="15">
        <v>0</v>
      </c>
      <c r="W1139" s="13" t="s">
        <v>48</v>
      </c>
      <c r="X1139" s="15" t="s">
        <v>3287</v>
      </c>
      <c r="Y1139" s="13" t="s">
        <v>37</v>
      </c>
    </row>
    <row x14ac:dyDescent="0.25" r="1140" customHeight="1" ht="18.75">
      <c r="A1140" s="5">
        <v>74321894</v>
      </c>
      <c r="B1140" s="6">
        <v>5517</v>
      </c>
      <c r="C1140" s="7" t="s">
        <v>5344</v>
      </c>
      <c r="D1140" s="7" t="s">
        <v>5345</v>
      </c>
      <c r="E1140" s="8">
        <v>74321894</v>
      </c>
      <c r="F1140" s="8">
        <v>5517</v>
      </c>
      <c r="G1140" s="7" t="s">
        <v>27</v>
      </c>
      <c r="H1140" s="7" t="s">
        <v>5346</v>
      </c>
      <c r="I1140" s="7" t="s">
        <v>5347</v>
      </c>
      <c r="J1140" s="8">
        <f>74952408424</f>
      </c>
      <c r="K1140" s="8">
        <v>6709</v>
      </c>
      <c r="L1140" s="7" t="s">
        <v>1276</v>
      </c>
      <c r="M1140" s="8">
        <v>105</v>
      </c>
      <c r="N1140" s="7" t="s">
        <v>1277</v>
      </c>
      <c r="O1140" s="7" t="s">
        <v>96</v>
      </c>
      <c r="P1140" s="7" t="s">
        <v>5348</v>
      </c>
      <c r="Q1140" s="8" t="s">
        <v>5349</v>
      </c>
      <c r="R1140" s="7" t="s">
        <v>33</v>
      </c>
      <c r="S1140" s="7" t="s">
        <v>47</v>
      </c>
      <c r="T1140" s="10">
        <v>3</v>
      </c>
      <c r="U1140" s="7"/>
      <c r="V1140" s="10">
        <v>0</v>
      </c>
      <c r="W1140" s="7" t="s">
        <v>48</v>
      </c>
      <c r="X1140" s="10" t="s">
        <v>3287</v>
      </c>
      <c r="Y1140" s="7" t="s">
        <v>84</v>
      </c>
    </row>
    <row x14ac:dyDescent="0.25" r="1141" customHeight="1" ht="18.75">
      <c r="A1141" s="11">
        <v>74321896</v>
      </c>
      <c r="B1141" s="12">
        <v>5521</v>
      </c>
      <c r="C1141" s="13" t="s">
        <v>5350</v>
      </c>
      <c r="D1141" s="13" t="s">
        <v>5351</v>
      </c>
      <c r="E1141" s="14">
        <v>74321896</v>
      </c>
      <c r="F1141" s="14">
        <v>5521</v>
      </c>
      <c r="G1141" s="13" t="s">
        <v>27</v>
      </c>
      <c r="H1141" s="13" t="s">
        <v>5352</v>
      </c>
      <c r="I1141" s="13" t="s">
        <v>5353</v>
      </c>
      <c r="J1141" s="13" t="s">
        <v>467</v>
      </c>
      <c r="K1141" s="14">
        <v>6714</v>
      </c>
      <c r="L1141" s="13" t="s">
        <v>1276</v>
      </c>
      <c r="M1141" s="14">
        <v>105</v>
      </c>
      <c r="N1141" s="13" t="s">
        <v>1277</v>
      </c>
      <c r="O1141" s="13" t="s">
        <v>82</v>
      </c>
      <c r="P1141" s="13" t="s">
        <v>5354</v>
      </c>
      <c r="Q1141" s="14" t="s">
        <v>58</v>
      </c>
      <c r="R1141" s="13" t="s">
        <v>33</v>
      </c>
      <c r="S1141" s="13" t="s">
        <v>47</v>
      </c>
      <c r="T1141" s="15">
        <v>3</v>
      </c>
      <c r="U1141" s="13"/>
      <c r="V1141" s="15">
        <v>0</v>
      </c>
      <c r="W1141" s="13" t="s">
        <v>48</v>
      </c>
      <c r="X1141" s="15" t="s">
        <v>3287</v>
      </c>
      <c r="Y1141" s="13" t="s">
        <v>59</v>
      </c>
    </row>
    <row x14ac:dyDescent="0.25" r="1142" customHeight="1" ht="18.75">
      <c r="A1142" s="5">
        <v>74321900</v>
      </c>
      <c r="B1142" s="6">
        <v>5541</v>
      </c>
      <c r="C1142" s="7" t="s">
        <v>5355</v>
      </c>
      <c r="D1142" s="7" t="s">
        <v>5356</v>
      </c>
      <c r="E1142" s="8">
        <v>74321900</v>
      </c>
      <c r="F1142" s="8">
        <v>5541</v>
      </c>
      <c r="G1142" s="7" t="s">
        <v>27</v>
      </c>
      <c r="H1142" s="7" t="s">
        <v>5357</v>
      </c>
      <c r="I1142" s="7" t="s">
        <v>5358</v>
      </c>
      <c r="J1142" s="7" t="s">
        <v>467</v>
      </c>
      <c r="K1142" s="8">
        <v>9638</v>
      </c>
      <c r="L1142" s="7" t="s">
        <v>1276</v>
      </c>
      <c r="M1142" s="8">
        <v>105</v>
      </c>
      <c r="N1142" s="7" t="s">
        <v>1277</v>
      </c>
      <c r="O1142" s="7" t="s">
        <v>73</v>
      </c>
      <c r="P1142" s="7" t="s">
        <v>4859</v>
      </c>
      <c r="Q1142" s="8" t="s">
        <v>1742</v>
      </c>
      <c r="R1142" s="7" t="s">
        <v>33</v>
      </c>
      <c r="S1142" s="7" t="s">
        <v>47</v>
      </c>
      <c r="T1142" s="10">
        <v>3</v>
      </c>
      <c r="U1142" s="7"/>
      <c r="V1142" s="10">
        <v>0</v>
      </c>
      <c r="W1142" s="7" t="s">
        <v>48</v>
      </c>
      <c r="X1142" s="10" t="s">
        <v>3287</v>
      </c>
      <c r="Y1142" s="7" t="s">
        <v>37</v>
      </c>
    </row>
    <row x14ac:dyDescent="0.25" r="1143" customHeight="1" ht="18.75">
      <c r="A1143" s="11">
        <v>74022007</v>
      </c>
      <c r="B1143" s="12">
        <v>5551</v>
      </c>
      <c r="C1143" s="13" t="s">
        <v>5359</v>
      </c>
      <c r="D1143" s="13" t="s">
        <v>5360</v>
      </c>
      <c r="E1143" s="14">
        <v>74022007</v>
      </c>
      <c r="F1143" s="14">
        <v>5551</v>
      </c>
      <c r="G1143" s="13" t="s">
        <v>27</v>
      </c>
      <c r="H1143" s="13" t="s">
        <v>5361</v>
      </c>
      <c r="I1143" s="13" t="s">
        <v>5362</v>
      </c>
      <c r="J1143" s="14">
        <f>79667699512</f>
      </c>
      <c r="K1143" s="9"/>
      <c r="L1143" s="13" t="s">
        <v>117</v>
      </c>
      <c r="M1143" s="14">
        <v>210</v>
      </c>
      <c r="N1143" s="13" t="s">
        <v>118</v>
      </c>
      <c r="O1143" s="13" t="s">
        <v>119</v>
      </c>
      <c r="P1143" s="13" t="s">
        <v>5363</v>
      </c>
      <c r="Q1143" s="14" t="s">
        <v>58</v>
      </c>
      <c r="R1143" s="13" t="s">
        <v>33</v>
      </c>
      <c r="S1143" s="13" t="s">
        <v>47</v>
      </c>
      <c r="T1143" s="15">
        <v>3</v>
      </c>
      <c r="U1143" s="13"/>
      <c r="V1143" s="15">
        <v>0</v>
      </c>
      <c r="W1143" s="13" t="s">
        <v>48</v>
      </c>
      <c r="X1143" s="15" t="s">
        <v>3287</v>
      </c>
      <c r="Y1143" s="13" t="s">
        <v>37</v>
      </c>
    </row>
    <row x14ac:dyDescent="0.25" r="1144" customHeight="1" ht="18.75">
      <c r="A1144" s="5">
        <v>74022009</v>
      </c>
      <c r="B1144" s="6">
        <v>5571</v>
      </c>
      <c r="C1144" s="7" t="s">
        <v>5364</v>
      </c>
      <c r="D1144" s="7" t="s">
        <v>5365</v>
      </c>
      <c r="E1144" s="8">
        <v>74022009</v>
      </c>
      <c r="F1144" s="8">
        <v>5571</v>
      </c>
      <c r="G1144" s="7" t="s">
        <v>27</v>
      </c>
      <c r="H1144" s="7" t="s">
        <v>5366</v>
      </c>
      <c r="I1144" s="7" t="s">
        <v>5367</v>
      </c>
      <c r="J1144" s="8">
        <f>74952120000</f>
      </c>
      <c r="K1144" s="8">
        <v>5761</v>
      </c>
      <c r="L1144" s="7" t="s">
        <v>2034</v>
      </c>
      <c r="M1144" s="8">
        <v>141</v>
      </c>
      <c r="N1144" s="7" t="s">
        <v>2035</v>
      </c>
      <c r="O1144" s="7" t="s">
        <v>510</v>
      </c>
      <c r="P1144" s="7" t="s">
        <v>2779</v>
      </c>
      <c r="Q1144" s="8">
        <v>74022009</v>
      </c>
      <c r="R1144" s="7" t="s">
        <v>33</v>
      </c>
      <c r="S1144" s="7" t="s">
        <v>47</v>
      </c>
      <c r="T1144" s="10">
        <v>4</v>
      </c>
      <c r="U1144" s="7"/>
      <c r="V1144" s="10">
        <v>0</v>
      </c>
      <c r="W1144" s="7"/>
      <c r="X1144" s="10">
        <v>0</v>
      </c>
      <c r="Y1144" s="7" t="s">
        <v>84</v>
      </c>
    </row>
    <row x14ac:dyDescent="0.25" r="1145" customHeight="1" ht="18.75">
      <c r="A1145" s="11">
        <v>74022010</v>
      </c>
      <c r="B1145" s="12">
        <v>5581</v>
      </c>
      <c r="C1145" s="13" t="s">
        <v>5368</v>
      </c>
      <c r="D1145" s="13" t="s">
        <v>5369</v>
      </c>
      <c r="E1145" s="14">
        <v>74022010</v>
      </c>
      <c r="F1145" s="14">
        <v>5581</v>
      </c>
      <c r="G1145" s="13" t="s">
        <v>27</v>
      </c>
      <c r="H1145" s="13" t="s">
        <v>5370</v>
      </c>
      <c r="I1145" s="13" t="s">
        <v>5371</v>
      </c>
      <c r="J1145" s="13" t="s">
        <v>467</v>
      </c>
      <c r="K1145" s="9"/>
      <c r="L1145" s="13" t="s">
        <v>42</v>
      </c>
      <c r="M1145" s="14">
        <v>100</v>
      </c>
      <c r="N1145" s="13" t="s">
        <v>910</v>
      </c>
      <c r="O1145" s="13" t="s">
        <v>44</v>
      </c>
      <c r="P1145" s="13" t="s">
        <v>5372</v>
      </c>
      <c r="Q1145" s="14" t="s">
        <v>5373</v>
      </c>
      <c r="R1145" s="13" t="s">
        <v>33</v>
      </c>
      <c r="S1145" s="13" t="s">
        <v>47</v>
      </c>
      <c r="T1145" s="15">
        <v>3</v>
      </c>
      <c r="U1145" s="13"/>
      <c r="V1145" s="15">
        <v>0</v>
      </c>
      <c r="W1145" s="13" t="s">
        <v>48</v>
      </c>
      <c r="X1145" s="15" t="s">
        <v>3287</v>
      </c>
      <c r="Y1145" s="13" t="s">
        <v>126</v>
      </c>
    </row>
    <row x14ac:dyDescent="0.25" r="1146" customHeight="1" ht="18.75">
      <c r="A1146" s="5">
        <v>74321901</v>
      </c>
      <c r="B1146" s="6">
        <v>5591</v>
      </c>
      <c r="C1146" s="7" t="s">
        <v>5374</v>
      </c>
      <c r="D1146" s="7" t="s">
        <v>5375</v>
      </c>
      <c r="E1146" s="8">
        <v>74321901</v>
      </c>
      <c r="F1146" s="8">
        <v>5591</v>
      </c>
      <c r="G1146" s="7" t="s">
        <v>27</v>
      </c>
      <c r="H1146" s="7" t="s">
        <v>5376</v>
      </c>
      <c r="I1146" s="7" t="s">
        <v>5377</v>
      </c>
      <c r="J1146" s="8">
        <f>74952408424</f>
      </c>
      <c r="K1146" s="8">
        <v>6703</v>
      </c>
      <c r="L1146" s="7" t="s">
        <v>1276</v>
      </c>
      <c r="M1146" s="8">
        <v>105</v>
      </c>
      <c r="N1146" s="7" t="s">
        <v>1277</v>
      </c>
      <c r="O1146" s="7" t="s">
        <v>73</v>
      </c>
      <c r="P1146" s="7" t="s">
        <v>1872</v>
      </c>
      <c r="Q1146" s="8" t="s">
        <v>5378</v>
      </c>
      <c r="R1146" s="7" t="s">
        <v>33</v>
      </c>
      <c r="S1146" s="7" t="s">
        <v>47</v>
      </c>
      <c r="T1146" s="10">
        <v>3</v>
      </c>
      <c r="U1146" s="7"/>
      <c r="V1146" s="10">
        <v>0</v>
      </c>
      <c r="W1146" s="7" t="s">
        <v>48</v>
      </c>
      <c r="X1146" s="10" t="s">
        <v>3287</v>
      </c>
      <c r="Y1146" s="7" t="s">
        <v>37</v>
      </c>
    </row>
    <row x14ac:dyDescent="0.25" r="1147" customHeight="1" ht="18.75">
      <c r="A1147" s="11">
        <v>74321902</v>
      </c>
      <c r="B1147" s="12">
        <v>5601</v>
      </c>
      <c r="C1147" s="13" t="s">
        <v>5379</v>
      </c>
      <c r="D1147" s="13" t="s">
        <v>5380</v>
      </c>
      <c r="E1147" s="14">
        <v>74321902</v>
      </c>
      <c r="F1147" s="14">
        <v>5601</v>
      </c>
      <c r="G1147" s="13" t="s">
        <v>27</v>
      </c>
      <c r="H1147" s="13" t="s">
        <v>5381</v>
      </c>
      <c r="I1147" s="13" t="s">
        <v>5382</v>
      </c>
      <c r="J1147" s="14">
        <f>74952408424</f>
      </c>
      <c r="K1147" s="14">
        <v>6727</v>
      </c>
      <c r="L1147" s="13" t="s">
        <v>5383</v>
      </c>
      <c r="M1147" s="14">
        <v>100784</v>
      </c>
      <c r="N1147" s="13" t="s">
        <v>5384</v>
      </c>
      <c r="O1147" s="13" t="s">
        <v>232</v>
      </c>
      <c r="P1147" s="13" t="s">
        <v>5385</v>
      </c>
      <c r="Q1147" s="14" t="s">
        <v>5380</v>
      </c>
      <c r="R1147" s="13" t="s">
        <v>33</v>
      </c>
      <c r="S1147" s="13" t="s">
        <v>47</v>
      </c>
      <c r="T1147" s="15">
        <v>3</v>
      </c>
      <c r="U1147" s="13" t="s">
        <v>48</v>
      </c>
      <c r="V1147" s="15" t="s">
        <v>200</v>
      </c>
      <c r="W1147" s="13" t="s">
        <v>48</v>
      </c>
      <c r="X1147" s="15" t="s">
        <v>36</v>
      </c>
      <c r="Y1147" s="13" t="s">
        <v>59</v>
      </c>
    </row>
    <row x14ac:dyDescent="0.25" r="1148" customHeight="1" ht="18.75">
      <c r="A1148" s="5">
        <v>74321903</v>
      </c>
      <c r="B1148" s="6">
        <v>5602</v>
      </c>
      <c r="C1148" s="7" t="s">
        <v>5386</v>
      </c>
      <c r="D1148" s="7" t="s">
        <v>5387</v>
      </c>
      <c r="E1148" s="8">
        <v>74321903</v>
      </c>
      <c r="F1148" s="8">
        <v>5602</v>
      </c>
      <c r="G1148" s="7" t="s">
        <v>27</v>
      </c>
      <c r="H1148" s="7" t="s">
        <v>5388</v>
      </c>
      <c r="I1148" s="7" t="s">
        <v>5389</v>
      </c>
      <c r="J1148" s="7" t="s">
        <v>467</v>
      </c>
      <c r="K1148" s="8">
        <v>6728</v>
      </c>
      <c r="L1148" s="7" t="s">
        <v>5383</v>
      </c>
      <c r="M1148" s="8">
        <v>100784</v>
      </c>
      <c r="N1148" s="7" t="s">
        <v>5384</v>
      </c>
      <c r="O1148" s="7" t="s">
        <v>232</v>
      </c>
      <c r="P1148" s="7" t="s">
        <v>5385</v>
      </c>
      <c r="Q1148" s="8" t="s">
        <v>5390</v>
      </c>
      <c r="R1148" s="7" t="s">
        <v>33</v>
      </c>
      <c r="S1148" s="7" t="s">
        <v>47</v>
      </c>
      <c r="T1148" s="10">
        <v>3</v>
      </c>
      <c r="U1148" s="7" t="s">
        <v>48</v>
      </c>
      <c r="V1148" s="10" t="s">
        <v>64</v>
      </c>
      <c r="W1148" s="7" t="s">
        <v>48</v>
      </c>
      <c r="X1148" s="10" t="s">
        <v>36</v>
      </c>
      <c r="Y1148" s="7" t="s">
        <v>37</v>
      </c>
    </row>
    <row x14ac:dyDescent="0.25" r="1149" customHeight="1" ht="18.75">
      <c r="A1149" s="11">
        <v>74321904</v>
      </c>
      <c r="B1149" s="12">
        <v>5603</v>
      </c>
      <c r="C1149" s="13" t="s">
        <v>5391</v>
      </c>
      <c r="D1149" s="13" t="s">
        <v>5392</v>
      </c>
      <c r="E1149" s="14">
        <v>74321904</v>
      </c>
      <c r="F1149" s="14">
        <v>5603</v>
      </c>
      <c r="G1149" s="13" t="s">
        <v>27</v>
      </c>
      <c r="H1149" s="13" t="s">
        <v>5393</v>
      </c>
      <c r="I1149" s="13" t="s">
        <v>5394</v>
      </c>
      <c r="J1149" s="13" t="s">
        <v>467</v>
      </c>
      <c r="K1149" s="14">
        <v>6729</v>
      </c>
      <c r="L1149" s="13" t="s">
        <v>5383</v>
      </c>
      <c r="M1149" s="14">
        <v>100784</v>
      </c>
      <c r="N1149" s="13" t="s">
        <v>5384</v>
      </c>
      <c r="O1149" s="13" t="s">
        <v>232</v>
      </c>
      <c r="P1149" s="13" t="s">
        <v>5385</v>
      </c>
      <c r="Q1149" s="14" t="s">
        <v>5395</v>
      </c>
      <c r="R1149" s="13" t="s">
        <v>33</v>
      </c>
      <c r="S1149" s="13" t="s">
        <v>47</v>
      </c>
      <c r="T1149" s="15">
        <v>3</v>
      </c>
      <c r="U1149" s="13"/>
      <c r="V1149" s="15">
        <v>0</v>
      </c>
      <c r="W1149" s="13" t="s">
        <v>48</v>
      </c>
      <c r="X1149" s="15" t="s">
        <v>36</v>
      </c>
      <c r="Y1149" s="13" t="s">
        <v>37</v>
      </c>
    </row>
    <row x14ac:dyDescent="0.25" r="1150" customHeight="1" ht="18.75">
      <c r="A1150" s="5">
        <v>74321905</v>
      </c>
      <c r="B1150" s="6">
        <v>5604</v>
      </c>
      <c r="C1150" s="7" t="s">
        <v>5396</v>
      </c>
      <c r="D1150" s="7" t="s">
        <v>5397</v>
      </c>
      <c r="E1150" s="8">
        <v>74321905</v>
      </c>
      <c r="F1150" s="8">
        <v>5604</v>
      </c>
      <c r="G1150" s="7" t="s">
        <v>27</v>
      </c>
      <c r="H1150" s="7" t="s">
        <v>5398</v>
      </c>
      <c r="I1150" s="7" t="s">
        <v>5399</v>
      </c>
      <c r="J1150" s="7" t="s">
        <v>467</v>
      </c>
      <c r="K1150" s="8">
        <v>6730</v>
      </c>
      <c r="L1150" s="7" t="s">
        <v>5383</v>
      </c>
      <c r="M1150" s="8">
        <v>100784</v>
      </c>
      <c r="N1150" s="7" t="s">
        <v>5384</v>
      </c>
      <c r="O1150" s="7" t="s">
        <v>232</v>
      </c>
      <c r="P1150" s="7" t="s">
        <v>5385</v>
      </c>
      <c r="Q1150" s="8" t="s">
        <v>5400</v>
      </c>
      <c r="R1150" s="7" t="s">
        <v>33</v>
      </c>
      <c r="S1150" s="7" t="s">
        <v>47</v>
      </c>
      <c r="T1150" s="10">
        <v>3</v>
      </c>
      <c r="U1150" s="7"/>
      <c r="V1150" s="10">
        <v>0</v>
      </c>
      <c r="W1150" s="7" t="s">
        <v>48</v>
      </c>
      <c r="X1150" s="10" t="s">
        <v>36</v>
      </c>
      <c r="Y1150" s="7" t="s">
        <v>37</v>
      </c>
    </row>
    <row x14ac:dyDescent="0.25" r="1151" customHeight="1" ht="18.75">
      <c r="A1151" s="11">
        <v>74321906</v>
      </c>
      <c r="B1151" s="12">
        <v>5605</v>
      </c>
      <c r="C1151" s="13" t="s">
        <v>5401</v>
      </c>
      <c r="D1151" s="13" t="s">
        <v>5402</v>
      </c>
      <c r="E1151" s="14">
        <v>74321906</v>
      </c>
      <c r="F1151" s="14">
        <v>5605</v>
      </c>
      <c r="G1151" s="13" t="s">
        <v>27</v>
      </c>
      <c r="H1151" s="13" t="s">
        <v>5403</v>
      </c>
      <c r="I1151" s="13" t="s">
        <v>5404</v>
      </c>
      <c r="J1151" s="13" t="s">
        <v>467</v>
      </c>
      <c r="K1151" s="14">
        <v>6731</v>
      </c>
      <c r="L1151" s="13" t="s">
        <v>5383</v>
      </c>
      <c r="M1151" s="14">
        <v>100784</v>
      </c>
      <c r="N1151" s="13" t="s">
        <v>5384</v>
      </c>
      <c r="O1151" s="13" t="s">
        <v>232</v>
      </c>
      <c r="P1151" s="13" t="s">
        <v>5385</v>
      </c>
      <c r="Q1151" s="14" t="s">
        <v>5405</v>
      </c>
      <c r="R1151" s="13" t="s">
        <v>33</v>
      </c>
      <c r="S1151" s="13" t="s">
        <v>47</v>
      </c>
      <c r="T1151" s="15">
        <v>3</v>
      </c>
      <c r="U1151" s="13"/>
      <c r="V1151" s="15">
        <v>0</v>
      </c>
      <c r="W1151" s="13" t="s">
        <v>48</v>
      </c>
      <c r="X1151" s="15" t="s">
        <v>36</v>
      </c>
      <c r="Y1151" s="13" t="s">
        <v>59</v>
      </c>
    </row>
    <row x14ac:dyDescent="0.25" r="1152" customHeight="1" ht="18.75">
      <c r="A1152" s="5">
        <v>74321907</v>
      </c>
      <c r="B1152" s="6">
        <v>5606</v>
      </c>
      <c r="C1152" s="7" t="s">
        <v>5406</v>
      </c>
      <c r="D1152" s="7" t="s">
        <v>5407</v>
      </c>
      <c r="E1152" s="8">
        <v>74321907</v>
      </c>
      <c r="F1152" s="8">
        <v>5606</v>
      </c>
      <c r="G1152" s="7" t="s">
        <v>27</v>
      </c>
      <c r="H1152" s="7" t="s">
        <v>5408</v>
      </c>
      <c r="I1152" s="7" t="s">
        <v>5409</v>
      </c>
      <c r="J1152" s="7" t="s">
        <v>467</v>
      </c>
      <c r="K1152" s="8">
        <v>6732</v>
      </c>
      <c r="L1152" s="7" t="s">
        <v>5383</v>
      </c>
      <c r="M1152" s="8">
        <v>100784</v>
      </c>
      <c r="N1152" s="7" t="s">
        <v>5384</v>
      </c>
      <c r="O1152" s="7" t="s">
        <v>232</v>
      </c>
      <c r="P1152" s="7" t="s">
        <v>5385</v>
      </c>
      <c r="Q1152" s="8" t="s">
        <v>5407</v>
      </c>
      <c r="R1152" s="7" t="s">
        <v>33</v>
      </c>
      <c r="S1152" s="7" t="s">
        <v>47</v>
      </c>
      <c r="T1152" s="10">
        <v>3</v>
      </c>
      <c r="U1152" s="7"/>
      <c r="V1152" s="10">
        <v>0</v>
      </c>
      <c r="W1152" s="7" t="s">
        <v>48</v>
      </c>
      <c r="X1152" s="10" t="s">
        <v>36</v>
      </c>
      <c r="Y1152" s="7" t="s">
        <v>126</v>
      </c>
    </row>
    <row x14ac:dyDescent="0.25" r="1153" customHeight="1" ht="18.75">
      <c r="A1153" s="11">
        <v>74321908</v>
      </c>
      <c r="B1153" s="12">
        <v>5607</v>
      </c>
      <c r="C1153" s="13" t="s">
        <v>5410</v>
      </c>
      <c r="D1153" s="13" t="s">
        <v>5411</v>
      </c>
      <c r="E1153" s="14">
        <v>74321908</v>
      </c>
      <c r="F1153" s="14">
        <v>5607</v>
      </c>
      <c r="G1153" s="13" t="s">
        <v>27</v>
      </c>
      <c r="H1153" s="13" t="s">
        <v>5412</v>
      </c>
      <c r="I1153" s="13" t="s">
        <v>5413</v>
      </c>
      <c r="J1153" s="13" t="s">
        <v>467</v>
      </c>
      <c r="K1153" s="14">
        <v>6733</v>
      </c>
      <c r="L1153" s="13" t="s">
        <v>5383</v>
      </c>
      <c r="M1153" s="14">
        <v>100784</v>
      </c>
      <c r="N1153" s="13" t="s">
        <v>5384</v>
      </c>
      <c r="O1153" s="13" t="s">
        <v>232</v>
      </c>
      <c r="P1153" s="13" t="s">
        <v>5385</v>
      </c>
      <c r="Q1153" s="14" t="s">
        <v>5414</v>
      </c>
      <c r="R1153" s="13" t="s">
        <v>33</v>
      </c>
      <c r="S1153" s="13" t="s">
        <v>47</v>
      </c>
      <c r="T1153" s="15">
        <v>3</v>
      </c>
      <c r="U1153" s="13"/>
      <c r="V1153" s="15">
        <v>0</v>
      </c>
      <c r="W1153" s="13" t="s">
        <v>48</v>
      </c>
      <c r="X1153" s="15" t="s">
        <v>36</v>
      </c>
      <c r="Y1153" s="13" t="s">
        <v>37</v>
      </c>
    </row>
    <row x14ac:dyDescent="0.25" r="1154" customHeight="1" ht="18.75">
      <c r="A1154" s="5">
        <v>74321909</v>
      </c>
      <c r="B1154" s="6">
        <v>5608</v>
      </c>
      <c r="C1154" s="7" t="s">
        <v>5415</v>
      </c>
      <c r="D1154" s="7" t="s">
        <v>5416</v>
      </c>
      <c r="E1154" s="8">
        <v>74321909</v>
      </c>
      <c r="F1154" s="8">
        <v>5608</v>
      </c>
      <c r="G1154" s="7" t="s">
        <v>27</v>
      </c>
      <c r="H1154" s="7" t="s">
        <v>5417</v>
      </c>
      <c r="I1154" s="7" t="s">
        <v>5418</v>
      </c>
      <c r="J1154" s="7" t="s">
        <v>467</v>
      </c>
      <c r="K1154" s="8">
        <v>6734</v>
      </c>
      <c r="L1154" s="7" t="s">
        <v>5383</v>
      </c>
      <c r="M1154" s="8">
        <v>100784</v>
      </c>
      <c r="N1154" s="7" t="s">
        <v>5384</v>
      </c>
      <c r="O1154" s="7" t="s">
        <v>232</v>
      </c>
      <c r="P1154" s="7" t="s">
        <v>5385</v>
      </c>
      <c r="Q1154" s="8" t="s">
        <v>5416</v>
      </c>
      <c r="R1154" s="7" t="s">
        <v>33</v>
      </c>
      <c r="S1154" s="7" t="s">
        <v>47</v>
      </c>
      <c r="T1154" s="10">
        <v>3</v>
      </c>
      <c r="U1154" s="7"/>
      <c r="V1154" s="10">
        <v>0</v>
      </c>
      <c r="W1154" s="7" t="s">
        <v>48</v>
      </c>
      <c r="X1154" s="10" t="s">
        <v>36</v>
      </c>
      <c r="Y1154" s="7" t="s">
        <v>126</v>
      </c>
    </row>
    <row x14ac:dyDescent="0.25" r="1155" customHeight="1" ht="18.75">
      <c r="A1155" s="11">
        <v>74321910</v>
      </c>
      <c r="B1155" s="12">
        <v>5609</v>
      </c>
      <c r="C1155" s="13" t="s">
        <v>5419</v>
      </c>
      <c r="D1155" s="13" t="s">
        <v>5420</v>
      </c>
      <c r="E1155" s="14">
        <v>74321910</v>
      </c>
      <c r="F1155" s="14">
        <v>5609</v>
      </c>
      <c r="G1155" s="13" t="s">
        <v>27</v>
      </c>
      <c r="H1155" s="13" t="s">
        <v>5421</v>
      </c>
      <c r="I1155" s="13" t="s">
        <v>5422</v>
      </c>
      <c r="J1155" s="13" t="s">
        <v>467</v>
      </c>
      <c r="K1155" s="14">
        <v>6720</v>
      </c>
      <c r="L1155" s="13" t="s">
        <v>5383</v>
      </c>
      <c r="M1155" s="14">
        <v>100784</v>
      </c>
      <c r="N1155" s="13" t="s">
        <v>5384</v>
      </c>
      <c r="O1155" s="13" t="s">
        <v>232</v>
      </c>
      <c r="P1155" s="13" t="s">
        <v>5423</v>
      </c>
      <c r="Q1155" s="14" t="s">
        <v>5424</v>
      </c>
      <c r="R1155" s="13" t="s">
        <v>33</v>
      </c>
      <c r="S1155" s="13" t="s">
        <v>47</v>
      </c>
      <c r="T1155" s="15">
        <v>3</v>
      </c>
      <c r="U1155" s="13"/>
      <c r="V1155" s="15">
        <v>0</v>
      </c>
      <c r="W1155" s="13" t="s">
        <v>48</v>
      </c>
      <c r="X1155" s="15" t="s">
        <v>36</v>
      </c>
      <c r="Y1155" s="13" t="s">
        <v>59</v>
      </c>
    </row>
    <row x14ac:dyDescent="0.25" r="1156" customHeight="1" ht="18.75">
      <c r="A1156" s="5">
        <v>74321911</v>
      </c>
      <c r="B1156" s="6">
        <v>5610</v>
      </c>
      <c r="C1156" s="7" t="s">
        <v>5425</v>
      </c>
      <c r="D1156" s="7" t="s">
        <v>5426</v>
      </c>
      <c r="E1156" s="8">
        <v>74321911</v>
      </c>
      <c r="F1156" s="8">
        <v>5610</v>
      </c>
      <c r="G1156" s="7" t="s">
        <v>27</v>
      </c>
      <c r="H1156" s="7" t="s">
        <v>5427</v>
      </c>
      <c r="I1156" s="7" t="s">
        <v>5428</v>
      </c>
      <c r="J1156" s="7" t="s">
        <v>467</v>
      </c>
      <c r="K1156" s="8">
        <v>9721</v>
      </c>
      <c r="L1156" s="7" t="s">
        <v>5383</v>
      </c>
      <c r="M1156" s="8">
        <v>100784</v>
      </c>
      <c r="N1156" s="7" t="s">
        <v>5384</v>
      </c>
      <c r="O1156" s="7" t="s">
        <v>232</v>
      </c>
      <c r="P1156" s="7" t="s">
        <v>5423</v>
      </c>
      <c r="Q1156" s="8" t="s">
        <v>5429</v>
      </c>
      <c r="R1156" s="7" t="s">
        <v>33</v>
      </c>
      <c r="S1156" s="7" t="s">
        <v>47</v>
      </c>
      <c r="T1156" s="10">
        <v>3</v>
      </c>
      <c r="U1156" s="7"/>
      <c r="V1156" s="10">
        <v>0</v>
      </c>
      <c r="W1156" s="7" t="s">
        <v>48</v>
      </c>
      <c r="X1156" s="10" t="s">
        <v>36</v>
      </c>
      <c r="Y1156" s="7" t="s">
        <v>59</v>
      </c>
    </row>
    <row x14ac:dyDescent="0.25" r="1157" customHeight="1" ht="18.75">
      <c r="A1157" s="11">
        <v>74321912</v>
      </c>
      <c r="B1157" s="12">
        <v>5611</v>
      </c>
      <c r="C1157" s="13" t="s">
        <v>5430</v>
      </c>
      <c r="D1157" s="13" t="s">
        <v>5431</v>
      </c>
      <c r="E1157" s="14">
        <v>74321912</v>
      </c>
      <c r="F1157" s="14">
        <v>5611</v>
      </c>
      <c r="G1157" s="13" t="s">
        <v>27</v>
      </c>
      <c r="H1157" s="13" t="s">
        <v>5432</v>
      </c>
      <c r="I1157" s="13" t="s">
        <v>5433</v>
      </c>
      <c r="J1157" s="13" t="s">
        <v>467</v>
      </c>
      <c r="K1157" s="14">
        <v>6722</v>
      </c>
      <c r="L1157" s="13" t="s">
        <v>5383</v>
      </c>
      <c r="M1157" s="14">
        <v>100784</v>
      </c>
      <c r="N1157" s="13" t="s">
        <v>5384</v>
      </c>
      <c r="O1157" s="13" t="s">
        <v>232</v>
      </c>
      <c r="P1157" s="13" t="s">
        <v>5423</v>
      </c>
      <c r="Q1157" s="14" t="s">
        <v>5431</v>
      </c>
      <c r="R1157" s="13" t="s">
        <v>33</v>
      </c>
      <c r="S1157" s="13" t="s">
        <v>47</v>
      </c>
      <c r="T1157" s="15">
        <v>3</v>
      </c>
      <c r="U1157" s="13"/>
      <c r="V1157" s="15">
        <v>0</v>
      </c>
      <c r="W1157" s="13" t="s">
        <v>48</v>
      </c>
      <c r="X1157" s="15" t="s">
        <v>36</v>
      </c>
      <c r="Y1157" s="13" t="s">
        <v>37</v>
      </c>
    </row>
    <row x14ac:dyDescent="0.25" r="1158" customHeight="1" ht="18.75">
      <c r="A1158" s="5">
        <v>74321913</v>
      </c>
      <c r="B1158" s="6">
        <v>5612</v>
      </c>
      <c r="C1158" s="7" t="s">
        <v>5434</v>
      </c>
      <c r="D1158" s="7" t="s">
        <v>5435</v>
      </c>
      <c r="E1158" s="8">
        <v>74321913</v>
      </c>
      <c r="F1158" s="8">
        <v>5612</v>
      </c>
      <c r="G1158" s="7" t="s">
        <v>27</v>
      </c>
      <c r="H1158" s="7" t="s">
        <v>5436</v>
      </c>
      <c r="I1158" s="7" t="s">
        <v>5437</v>
      </c>
      <c r="J1158" s="7" t="s">
        <v>467</v>
      </c>
      <c r="K1158" s="8">
        <v>6724</v>
      </c>
      <c r="L1158" s="7" t="s">
        <v>5383</v>
      </c>
      <c r="M1158" s="8">
        <v>100784</v>
      </c>
      <c r="N1158" s="7" t="s">
        <v>5384</v>
      </c>
      <c r="O1158" s="7" t="s">
        <v>232</v>
      </c>
      <c r="P1158" s="7" t="s">
        <v>5385</v>
      </c>
      <c r="Q1158" s="8" t="s">
        <v>5435</v>
      </c>
      <c r="R1158" s="7" t="s">
        <v>33</v>
      </c>
      <c r="S1158" s="7" t="s">
        <v>47</v>
      </c>
      <c r="T1158" s="10">
        <v>3</v>
      </c>
      <c r="U1158" s="7" t="s">
        <v>48</v>
      </c>
      <c r="V1158" s="10" t="s">
        <v>49</v>
      </c>
      <c r="W1158" s="7" t="s">
        <v>35</v>
      </c>
      <c r="X1158" s="10" t="s">
        <v>36</v>
      </c>
      <c r="Y1158" s="7" t="s">
        <v>37</v>
      </c>
    </row>
    <row x14ac:dyDescent="0.25" r="1159" customHeight="1" ht="18.75">
      <c r="A1159" s="11">
        <v>74321914</v>
      </c>
      <c r="B1159" s="12">
        <v>5613</v>
      </c>
      <c r="C1159" s="13" t="s">
        <v>5438</v>
      </c>
      <c r="D1159" s="13" t="s">
        <v>5439</v>
      </c>
      <c r="E1159" s="14">
        <v>74321914</v>
      </c>
      <c r="F1159" s="14">
        <v>5613</v>
      </c>
      <c r="G1159" s="13" t="s">
        <v>27</v>
      </c>
      <c r="H1159" s="13" t="s">
        <v>5440</v>
      </c>
      <c r="I1159" s="13" t="s">
        <v>5441</v>
      </c>
      <c r="J1159" s="14">
        <f>74952408424</f>
      </c>
      <c r="K1159" s="14">
        <v>6725</v>
      </c>
      <c r="L1159" s="13" t="s">
        <v>5383</v>
      </c>
      <c r="M1159" s="14">
        <v>100784</v>
      </c>
      <c r="N1159" s="13" t="s">
        <v>5384</v>
      </c>
      <c r="O1159" s="13" t="s">
        <v>232</v>
      </c>
      <c r="P1159" s="13" t="s">
        <v>5385</v>
      </c>
      <c r="Q1159" s="14" t="s">
        <v>5439</v>
      </c>
      <c r="R1159" s="13" t="s">
        <v>33</v>
      </c>
      <c r="S1159" s="13" t="s">
        <v>47</v>
      </c>
      <c r="T1159" s="15">
        <v>3</v>
      </c>
      <c r="U1159" s="13" t="s">
        <v>35</v>
      </c>
      <c r="V1159" s="15" t="s">
        <v>195</v>
      </c>
      <c r="W1159" s="13" t="s">
        <v>48</v>
      </c>
      <c r="X1159" s="15" t="s">
        <v>36</v>
      </c>
      <c r="Y1159" s="13" t="s">
        <v>37</v>
      </c>
    </row>
    <row x14ac:dyDescent="0.25" r="1160" customHeight="1" ht="18.75">
      <c r="A1160" s="5">
        <v>74321915</v>
      </c>
      <c r="B1160" s="6">
        <v>5614</v>
      </c>
      <c r="C1160" s="7" t="s">
        <v>5442</v>
      </c>
      <c r="D1160" s="7" t="s">
        <v>5443</v>
      </c>
      <c r="E1160" s="8">
        <v>74321915</v>
      </c>
      <c r="F1160" s="8">
        <v>5614</v>
      </c>
      <c r="G1160" s="7" t="s">
        <v>27</v>
      </c>
      <c r="H1160" s="7" t="s">
        <v>5444</v>
      </c>
      <c r="I1160" s="7" t="s">
        <v>5445</v>
      </c>
      <c r="J1160" s="8">
        <f>74952408424</f>
      </c>
      <c r="K1160" s="8">
        <v>6726</v>
      </c>
      <c r="L1160" s="7" t="s">
        <v>5383</v>
      </c>
      <c r="M1160" s="8">
        <v>100784</v>
      </c>
      <c r="N1160" s="7" t="s">
        <v>5384</v>
      </c>
      <c r="O1160" s="7" t="s">
        <v>232</v>
      </c>
      <c r="P1160" s="7" t="s">
        <v>5385</v>
      </c>
      <c r="Q1160" s="8" t="s">
        <v>5443</v>
      </c>
      <c r="R1160" s="7" t="s">
        <v>33</v>
      </c>
      <c r="S1160" s="7" t="s">
        <v>47</v>
      </c>
      <c r="T1160" s="10">
        <v>3</v>
      </c>
      <c r="U1160" s="7" t="s">
        <v>48</v>
      </c>
      <c r="V1160" s="10" t="s">
        <v>49</v>
      </c>
      <c r="W1160" s="7" t="s">
        <v>35</v>
      </c>
      <c r="X1160" s="10" t="s">
        <v>36</v>
      </c>
      <c r="Y1160" s="7" t="s">
        <v>59</v>
      </c>
    </row>
    <row x14ac:dyDescent="0.25" r="1161" customHeight="1" ht="18.75">
      <c r="A1161" s="11">
        <v>74022011</v>
      </c>
      <c r="B1161" s="12">
        <v>5651</v>
      </c>
      <c r="C1161" s="13" t="s">
        <v>5446</v>
      </c>
      <c r="D1161" s="13" t="s">
        <v>5447</v>
      </c>
      <c r="E1161" s="14">
        <v>74022011</v>
      </c>
      <c r="F1161" s="14">
        <v>5651</v>
      </c>
      <c r="G1161" s="13" t="s">
        <v>27</v>
      </c>
      <c r="H1161" s="13" t="s">
        <v>5448</v>
      </c>
      <c r="I1161" s="13" t="s">
        <v>5449</v>
      </c>
      <c r="J1161" s="14">
        <f>74952120000</f>
      </c>
      <c r="K1161" s="14">
        <v>5053</v>
      </c>
      <c r="L1161" s="13" t="s">
        <v>2034</v>
      </c>
      <c r="M1161" s="14">
        <v>141</v>
      </c>
      <c r="N1161" s="13" t="s">
        <v>2035</v>
      </c>
      <c r="O1161" s="13" t="s">
        <v>82</v>
      </c>
      <c r="P1161" s="13" t="s">
        <v>3706</v>
      </c>
      <c r="Q1161" s="14" t="s">
        <v>5450</v>
      </c>
      <c r="R1161" s="13" t="s">
        <v>33</v>
      </c>
      <c r="S1161" s="13" t="s">
        <v>47</v>
      </c>
      <c r="T1161" s="15">
        <v>3</v>
      </c>
      <c r="U1161" s="13"/>
      <c r="V1161" s="15">
        <v>0</v>
      </c>
      <c r="W1161" s="13"/>
      <c r="X1161" s="15">
        <v>0</v>
      </c>
      <c r="Y1161" s="13" t="s">
        <v>126</v>
      </c>
    </row>
    <row x14ac:dyDescent="0.25" r="1162" customHeight="1" ht="18.75">
      <c r="A1162" s="5">
        <v>74022017</v>
      </c>
      <c r="B1162" s="6">
        <v>5771</v>
      </c>
      <c r="C1162" s="7" t="s">
        <v>5451</v>
      </c>
      <c r="D1162" s="7" t="s">
        <v>5452</v>
      </c>
      <c r="E1162" s="8">
        <v>74022017</v>
      </c>
      <c r="F1162" s="8">
        <v>5771</v>
      </c>
      <c r="G1162" s="7" t="s">
        <v>27</v>
      </c>
      <c r="H1162" s="7" t="s">
        <v>5453</v>
      </c>
      <c r="I1162" s="7" t="s">
        <v>5454</v>
      </c>
      <c r="J1162" s="7" t="s">
        <v>467</v>
      </c>
      <c r="K1162" s="9"/>
      <c r="L1162" s="7" t="s">
        <v>30</v>
      </c>
      <c r="M1162" s="8">
        <v>56</v>
      </c>
      <c r="N1162" s="7" t="s">
        <v>31</v>
      </c>
      <c r="O1162" s="7" t="s">
        <v>56</v>
      </c>
      <c r="P1162" s="7" t="s">
        <v>1643</v>
      </c>
      <c r="Q1162" s="8" t="s">
        <v>5455</v>
      </c>
      <c r="R1162" s="7" t="s">
        <v>33</v>
      </c>
      <c r="S1162" s="7" t="s">
        <v>47</v>
      </c>
      <c r="T1162" s="10">
        <v>4</v>
      </c>
      <c r="U1162" s="7"/>
      <c r="V1162" s="10">
        <v>0</v>
      </c>
      <c r="W1162" s="7" t="s">
        <v>48</v>
      </c>
      <c r="X1162" s="10" t="s">
        <v>3287</v>
      </c>
      <c r="Y1162" s="7" t="s">
        <v>37</v>
      </c>
    </row>
  </sheetData>
  <mergeCells count="657">
    <mergeCell ref="J2:K2"/>
    <mergeCell ref="J3:K3"/>
    <mergeCell ref="J4:K4"/>
    <mergeCell ref="J5:K5"/>
    <mergeCell ref="J6:K6"/>
    <mergeCell ref="J7:K7"/>
    <mergeCell ref="J8:K8"/>
    <mergeCell ref="J11:K11"/>
    <mergeCell ref="J12:K12"/>
    <mergeCell ref="J13:K13"/>
    <mergeCell ref="J14:K14"/>
    <mergeCell ref="J15:K15"/>
    <mergeCell ref="J16:K16"/>
    <mergeCell ref="J21:K21"/>
    <mergeCell ref="J22:K22"/>
    <mergeCell ref="J24:K24"/>
    <mergeCell ref="J25:K25"/>
    <mergeCell ref="J26:K26"/>
    <mergeCell ref="J27:K27"/>
    <mergeCell ref="J28:K28"/>
    <mergeCell ref="J29:K29"/>
    <mergeCell ref="J30:K30"/>
    <mergeCell ref="J33:K33"/>
    <mergeCell ref="J34:K34"/>
    <mergeCell ref="J35:K35"/>
    <mergeCell ref="J36:K36"/>
    <mergeCell ref="J37:K37"/>
    <mergeCell ref="J38:K38"/>
    <mergeCell ref="J39:K39"/>
    <mergeCell ref="J40:K40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4:K94"/>
    <mergeCell ref="J96:K96"/>
    <mergeCell ref="J97:K97"/>
    <mergeCell ref="J98:K98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4:K174"/>
    <mergeCell ref="J175:K175"/>
    <mergeCell ref="J176:K176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1:K221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50:K250"/>
    <mergeCell ref="J251:K251"/>
    <mergeCell ref="J252:K252"/>
    <mergeCell ref="J256:K256"/>
    <mergeCell ref="J260:K260"/>
    <mergeCell ref="J261:K261"/>
    <mergeCell ref="J262:K262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8:K348"/>
    <mergeCell ref="J349:K349"/>
    <mergeCell ref="J351:K351"/>
    <mergeCell ref="J352:K352"/>
    <mergeCell ref="J354:K354"/>
    <mergeCell ref="J355:K355"/>
    <mergeCell ref="J357:K357"/>
    <mergeCell ref="J358:K358"/>
    <mergeCell ref="J361:K361"/>
    <mergeCell ref="J364:K364"/>
    <mergeCell ref="J365:K365"/>
    <mergeCell ref="J367:K367"/>
    <mergeCell ref="J368:K368"/>
    <mergeCell ref="J369:K369"/>
    <mergeCell ref="J370:K370"/>
    <mergeCell ref="I371:J371"/>
    <mergeCell ref="J373:K373"/>
    <mergeCell ref="J376:K376"/>
    <mergeCell ref="J377:K377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3:K393"/>
    <mergeCell ref="J394:K394"/>
    <mergeCell ref="J397:K397"/>
    <mergeCell ref="J398:K398"/>
    <mergeCell ref="J399:K399"/>
    <mergeCell ref="J400:K400"/>
    <mergeCell ref="J401:K401"/>
    <mergeCell ref="J402:K402"/>
    <mergeCell ref="J404:K404"/>
    <mergeCell ref="J405:K405"/>
    <mergeCell ref="J406:K406"/>
    <mergeCell ref="J407:K407"/>
    <mergeCell ref="J414:K414"/>
    <mergeCell ref="I417:J417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42:K442"/>
    <mergeCell ref="J443:K443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4:K474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2:K522"/>
    <mergeCell ref="J523:K523"/>
    <mergeCell ref="J524:K524"/>
    <mergeCell ref="J525:K525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50:K550"/>
    <mergeCell ref="J551:K551"/>
    <mergeCell ref="J552:K552"/>
    <mergeCell ref="J553:K553"/>
    <mergeCell ref="J555:K555"/>
    <mergeCell ref="J556:K556"/>
    <mergeCell ref="J561:K561"/>
    <mergeCell ref="J581:K581"/>
    <mergeCell ref="J585:K585"/>
    <mergeCell ref="J708:K708"/>
    <mergeCell ref="J841:K841"/>
    <mergeCell ref="J843:K843"/>
    <mergeCell ref="J844:K844"/>
    <mergeCell ref="J845:K845"/>
    <mergeCell ref="J846:K846"/>
    <mergeCell ref="J847:K847"/>
    <mergeCell ref="J848:K848"/>
    <mergeCell ref="J849:K849"/>
    <mergeCell ref="J851:K851"/>
    <mergeCell ref="J856:K856"/>
    <mergeCell ref="J859:K859"/>
    <mergeCell ref="J861:K861"/>
    <mergeCell ref="J868:K868"/>
    <mergeCell ref="J869:K869"/>
    <mergeCell ref="J870:K870"/>
    <mergeCell ref="J871:K871"/>
    <mergeCell ref="J872:K872"/>
    <mergeCell ref="J873:K873"/>
    <mergeCell ref="J874:K874"/>
    <mergeCell ref="J876:K876"/>
    <mergeCell ref="J877:K877"/>
    <mergeCell ref="J878:K878"/>
    <mergeCell ref="J883:K883"/>
    <mergeCell ref="J884:K884"/>
    <mergeCell ref="J885:K885"/>
    <mergeCell ref="J886:K886"/>
    <mergeCell ref="J896:K896"/>
    <mergeCell ref="J897:K897"/>
    <mergeCell ref="J898:K898"/>
    <mergeCell ref="J899:K899"/>
    <mergeCell ref="J900:K900"/>
    <mergeCell ref="J901:K901"/>
    <mergeCell ref="J902:K902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20:K920"/>
    <mergeCell ref="J921:K921"/>
    <mergeCell ref="I922:J922"/>
    <mergeCell ref="J923:K923"/>
    <mergeCell ref="J924:K924"/>
    <mergeCell ref="J925:K925"/>
    <mergeCell ref="J926:K926"/>
    <mergeCell ref="J927:K927"/>
    <mergeCell ref="J930:K930"/>
    <mergeCell ref="I938:J938"/>
    <mergeCell ref="J941:K941"/>
    <mergeCell ref="J942:K942"/>
    <mergeCell ref="J946:K946"/>
    <mergeCell ref="J947:K947"/>
    <mergeCell ref="J948:K948"/>
    <mergeCell ref="J949:K949"/>
    <mergeCell ref="J950:K950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4:K964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I984:J984"/>
    <mergeCell ref="J992:K992"/>
    <mergeCell ref="J993:K993"/>
    <mergeCell ref="J995:K995"/>
    <mergeCell ref="J996:K996"/>
    <mergeCell ref="J998:K998"/>
    <mergeCell ref="J1000:K1000"/>
    <mergeCell ref="J1005:K1005"/>
    <mergeCell ref="J1006:K1006"/>
    <mergeCell ref="J1007:K1007"/>
    <mergeCell ref="J1008:K1008"/>
    <mergeCell ref="J1009:K1009"/>
    <mergeCell ref="J1011:K1011"/>
    <mergeCell ref="J1012:K1012"/>
    <mergeCell ref="J1013:K1013"/>
    <mergeCell ref="J1015:K1015"/>
    <mergeCell ref="J1019:K1019"/>
    <mergeCell ref="J1020:K1020"/>
    <mergeCell ref="J1021:K1021"/>
    <mergeCell ref="J1022:K1022"/>
    <mergeCell ref="J1023:K1023"/>
    <mergeCell ref="J1024:K1024"/>
    <mergeCell ref="I1025:J1025"/>
    <mergeCell ref="J1027:K1027"/>
    <mergeCell ref="J1029:K1029"/>
    <mergeCell ref="J1030:K1030"/>
    <mergeCell ref="J1031:K1031"/>
    <mergeCell ref="J1032:K1032"/>
    <mergeCell ref="J1038:K1038"/>
    <mergeCell ref="J1039:K1039"/>
    <mergeCell ref="J1040:K1040"/>
    <mergeCell ref="J1041:K1041"/>
    <mergeCell ref="J1042:K1042"/>
    <mergeCell ref="J1043:K1043"/>
    <mergeCell ref="J1045:K1045"/>
    <mergeCell ref="J1046:K1046"/>
    <mergeCell ref="J1047:K1047"/>
    <mergeCell ref="J1048:K1048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60:K1060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90:K1090"/>
    <mergeCell ref="J1091:K1091"/>
    <mergeCell ref="J1092:K1092"/>
    <mergeCell ref="J1093:K1093"/>
    <mergeCell ref="J1097:K1097"/>
    <mergeCell ref="J1103:K1103"/>
    <mergeCell ref="J1106:K1106"/>
    <mergeCell ref="J1107:K1107"/>
    <mergeCell ref="J1109:K1109"/>
    <mergeCell ref="J1118:K1118"/>
    <mergeCell ref="J1119:K1119"/>
    <mergeCell ref="J1122:K1122"/>
    <mergeCell ref="J1123:K1123"/>
    <mergeCell ref="J1128:K1128"/>
    <mergeCell ref="J1129:K1129"/>
    <mergeCell ref="J1130:K1130"/>
    <mergeCell ref="I1132:J1132"/>
    <mergeCell ref="J1133:K1133"/>
    <mergeCell ref="J1135:K1135"/>
    <mergeCell ref="J1143:K1143"/>
    <mergeCell ref="J1145:K1145"/>
    <mergeCell ref="J1162:K116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Все рестораны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2024-04-17T23:28:38.511Z</dcterms:created>
  <dcterms:modified xsi:type="dcterms:W3CDTF">2024-04-17T23:28:38.511Z</dcterms:modified>
</cp:coreProperties>
</file>